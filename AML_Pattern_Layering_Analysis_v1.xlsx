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Job Applications\2025\Canada Applications\AML,KYC Bootcamp\Dataset\"/>
    </mc:Choice>
  </mc:AlternateContent>
  <xr:revisionPtr revIDLastSave="0" documentId="13_ncr:1_{CB4AF378-52CE-4209-806D-8CA349188D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yering" sheetId="1" r:id="rId1"/>
    <sheet name="FunnelAccount" sheetId="2" r:id="rId2"/>
    <sheet name="RoundTripping" sheetId="3" r:id="rId3"/>
    <sheet name="StructuringOverTime" sheetId="4" r:id="rId4"/>
    <sheet name="Case_Log" sheetId="5" r:id="rId5"/>
  </sheets>
  <calcPr calcId="162913"/>
  <pivotCaches>
    <pivotCache cacheId="2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<sst xmlns="http://schemas.openxmlformats.org/spreadsheetml/2006/main" count="298" uniqueCount="122">
  <si>
    <t>TransactionID</t>
  </si>
  <si>
    <t>FromAccount</t>
  </si>
  <si>
    <t>ToAccount</t>
  </si>
  <si>
    <t>Date</t>
  </si>
  <si>
    <t>Amount</t>
  </si>
  <si>
    <t>Currency</t>
  </si>
  <si>
    <t>L001</t>
  </si>
  <si>
    <t>A100</t>
  </si>
  <si>
    <t>A101</t>
  </si>
  <si>
    <t>USD</t>
  </si>
  <si>
    <t>L002</t>
  </si>
  <si>
    <t>A102</t>
  </si>
  <si>
    <t>L003</t>
  </si>
  <si>
    <t>A103</t>
  </si>
  <si>
    <t>L004</t>
  </si>
  <si>
    <t>A200</t>
  </si>
  <si>
    <t>L005</t>
  </si>
  <si>
    <t>A201</t>
  </si>
  <si>
    <t>L006</t>
  </si>
  <si>
    <t>A202</t>
  </si>
  <si>
    <t>L007</t>
  </si>
  <si>
    <t>A300</t>
  </si>
  <si>
    <t>L008</t>
  </si>
  <si>
    <t>L009</t>
  </si>
  <si>
    <t>L010</t>
  </si>
  <si>
    <t>A203</t>
  </si>
  <si>
    <t>Account</t>
  </si>
  <si>
    <t>Branch</t>
  </si>
  <si>
    <t>Type</t>
  </si>
  <si>
    <t>F001</t>
  </si>
  <si>
    <t>FA100</t>
  </si>
  <si>
    <t>NY</t>
  </si>
  <si>
    <t>Cash Deposit</t>
  </si>
  <si>
    <t>F002</t>
  </si>
  <si>
    <t>CA</t>
  </si>
  <si>
    <t>F003</t>
  </si>
  <si>
    <t>TX</t>
  </si>
  <si>
    <t>F004</t>
  </si>
  <si>
    <t>FL</t>
  </si>
  <si>
    <t>F005</t>
  </si>
  <si>
    <t>IL</t>
  </si>
  <si>
    <t>F006</t>
  </si>
  <si>
    <t>NV</t>
  </si>
  <si>
    <t>F007</t>
  </si>
  <si>
    <t>WA</t>
  </si>
  <si>
    <t>F008</t>
  </si>
  <si>
    <t>NJ</t>
  </si>
  <si>
    <t>F009</t>
  </si>
  <si>
    <t>AZ</t>
  </si>
  <si>
    <t>F010</t>
  </si>
  <si>
    <t>GA</t>
  </si>
  <si>
    <t>Wire Out</t>
  </si>
  <si>
    <t>Description</t>
  </si>
  <si>
    <t>R001</t>
  </si>
  <si>
    <t>RT100</t>
  </si>
  <si>
    <t>Inflow</t>
  </si>
  <si>
    <t>R002</t>
  </si>
  <si>
    <t>Outflow</t>
  </si>
  <si>
    <t>R003</t>
  </si>
  <si>
    <t>R004</t>
  </si>
  <si>
    <t>R005</t>
  </si>
  <si>
    <t>R006</t>
  </si>
  <si>
    <t>R007</t>
  </si>
  <si>
    <t>R008</t>
  </si>
  <si>
    <t>S001</t>
  </si>
  <si>
    <t>ST100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</si>
  <si>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</si>
  <si>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</si>
  <si>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</si>
  <si>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</si>
  <si>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</si>
  <si>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</si>
  <si>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</si>
  <si>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</si>
  <si>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</si>
  <si>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</si>
  <si>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</si>
  <si>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</si>
  <si>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</si>
  <si>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</si>
  <si>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AlertID</t>
  </si>
  <si>
    <t>Scenario</t>
  </si>
  <si>
    <t>AnalystAction</t>
  </si>
  <si>
    <t>EscalationStatus</t>
  </si>
  <si>
    <t>Notes</t>
  </si>
  <si>
    <t>Flag</t>
  </si>
  <si>
    <t>Part of Layering Chain</t>
  </si>
  <si>
    <t>Layering- hiding the origin of illicit funds by moving money through multiple accounts,entities or jurisdictions</t>
  </si>
  <si>
    <t>LAYERING</t>
  </si>
  <si>
    <t>Inbound Deposits</t>
  </si>
  <si>
    <t>Potential Funnel Activity</t>
  </si>
  <si>
    <t>Goal: Detect multi-location deposits funneled into a single account</t>
  </si>
  <si>
    <t>Funnel account</t>
  </si>
  <si>
    <t>F001-F010</t>
  </si>
  <si>
    <t>Flagged funnel activity</t>
  </si>
  <si>
    <t>Yes</t>
  </si>
  <si>
    <t>Multiple deposits into FA100 followed by same day outbound wire</t>
  </si>
  <si>
    <t>Round - tripping pair</t>
  </si>
  <si>
    <t>R001-R004</t>
  </si>
  <si>
    <t>R005-R008</t>
  </si>
  <si>
    <t>Round tripping</t>
  </si>
  <si>
    <t>Identified inflow/outflow pairs within 24 hours</t>
  </si>
  <si>
    <t>Equal inflows/outflows flagged for review</t>
  </si>
  <si>
    <t>Row Labels</t>
  </si>
  <si>
    <t>Grand Total</t>
  </si>
  <si>
    <t>Jun</t>
  </si>
  <si>
    <t>Jul</t>
  </si>
  <si>
    <t>Aug</t>
  </si>
  <si>
    <t>Sep</t>
  </si>
  <si>
    <t>Sum of Amount</t>
  </si>
  <si>
    <t>Potential structuring</t>
  </si>
  <si>
    <t>2024-06-01 to 2024-09-07</t>
  </si>
  <si>
    <t>Structuring overtime</t>
  </si>
  <si>
    <t>Detected rolling sub-threshhold deposits</t>
  </si>
  <si>
    <t>Multiple deposits under $10k across 3 months</t>
  </si>
  <si>
    <t>Second cycle of round-tripping activity observed</t>
  </si>
  <si>
    <t>2024-08-01</t>
  </si>
  <si>
    <t>L001-L006</t>
  </si>
  <si>
    <t>Layering Chain</t>
  </si>
  <si>
    <t>Traced fund flow A100 → A101/A102/A103 → A200+/A300</t>
  </si>
  <si>
    <t>Funds moved through multiple accounts to obscure origin</t>
  </si>
  <si>
    <t>S001 -  S015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</si>
</sst>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10242</xdr:colOff>
      <xdr:row>2</xdr:row>
      <xdr:rowOff>7398</xdr:rowOff>
    </xdr:from>
    <xdr:to>
      <xdr:col>16</xdr:col>
      <xdr:colOff>0</xdr:colOff>
      <xdr:row>14</xdr:row>
      <xdr:rowOff>153628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D4E6B-8857-008A-258C-7997A7AB5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2581" y="396592"/>
          <a:ext cx="4291371" cy="248139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Monk" refreshedDate="46036.874837037038" createdVersion="8" refreshedVersion="8" minRefreshableVersion="3" recordCount="15" xr:uid="{9F807EEB-DE5A-43D9-8E4F-B4AF510729EF}">
  <cacheSource type="worksheet">
    <worksheetSource ref="B1:D16" sheet="StructuringOverTime"/>
  </cacheSource>
  <cacheFields count="5">
    <cacheField name="Account" numFmtId="0">
      <sharedItems count="1">
        <s v="ST100"/>
      </sharedItems>
    </cacheField>
    <cacheField name="Date" numFmtId="14">
      <sharedItems containsSemiMixedTypes="0" containsNonDate="0" containsDate="1" containsString="0" minDate="2024-06-01T00:00:00" maxDate="2024-09-08T00:00:00" count="15">
        <d v="2024-06-01T00:00:00"/>
        <d v="2024-06-08T00:00:00"/>
        <d v="2024-06-15T00:00:00"/>
        <d v="2024-06-22T00:00:00"/>
        <d v="2024-06-29T00:00:00"/>
        <d v="2024-07-06T00:00:00"/>
        <d v="2024-07-13T00:00:00"/>
        <d v="2024-07-20T00:00:00"/>
        <d v="2024-07-27T00:00:00"/>
        <d v="2024-08-03T00:00:00"/>
        <d v="2024-08-10T00:00:00"/>
        <d v="2024-08-17T00:00:00"/>
        <d v="2024-08-24T00:00:00"/>
        <d v="2024-08-31T00:00:00"/>
        <d v="2024-09-07T00:00:00"/>
      </sharedItems>
      <fieldGroup par="4"/>
    </cacheField>
    <cacheField name="Amount" numFmtId="0">
      <sharedItems containsSemiMixedTypes="0" containsString="0" containsNumber="1" containsInteger="1" minValue="8800" maxValue="9900"/>
    </cacheField>
    <cacheField name="Days (Date)" numFmtId="0" databaseField="0">
      <fieldGroup base="1">
        <rangePr groupBy="days" startDate="2024-06-01T00:00:00" endDate="2024-09-08T00:00:00"/>
        <groupItems count="368">
          <s v="&lt;2024-06-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-09-08"/>
        </groupItems>
      </fieldGroup>
    </cacheField>
    <cacheField name="Months (Date)" numFmtId="0" databaseField="0">
      <fieldGroup base="1">
        <rangePr groupBy="months" startDate="2024-06-01T00:00:00" endDate="2024-09-08T00:00:00"/>
        <groupItems count="14">
          <s v="&lt;2024-06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09-0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9500"/>
  </r>
  <r>
    <x v="0"/>
    <x v="1"/>
    <n v="9800"/>
  </r>
  <r>
    <x v="0"/>
    <x v="2"/>
    <n v="9700"/>
  </r>
  <r>
    <x v="0"/>
    <x v="3"/>
    <n v="9400"/>
  </r>
  <r>
    <x v="0"/>
    <x v="4"/>
    <n v="9600"/>
  </r>
  <r>
    <x v="0"/>
    <x v="5"/>
    <n v="9100"/>
  </r>
  <r>
    <x v="0"/>
    <x v="6"/>
    <n v="9900"/>
  </r>
  <r>
    <x v="0"/>
    <x v="7"/>
    <n v="9200"/>
  </r>
  <r>
    <x v="0"/>
    <x v="8"/>
    <n v="8800"/>
  </r>
  <r>
    <x v="0"/>
    <x v="9"/>
    <n v="9700"/>
  </r>
  <r>
    <x v="0"/>
    <x v="10"/>
    <n v="9500"/>
  </r>
  <r>
    <x v="0"/>
    <x v="11"/>
    <n v="9900"/>
  </r>
  <r>
    <x v="0"/>
    <x v="12"/>
    <n v="9850"/>
  </r>
  <r>
    <x v="0"/>
    <x v="13"/>
    <n v="9300"/>
  </r>
  <r>
    <x v="0"/>
    <x v="14"/>
    <n v="9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1A2B1-6127-4FC3-8D53-15FE3CCB550B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9" firstHeaderRow="1" firstDataRow="1" firstDataCol="1"/>
  <pivotFields count="5">
    <pivotField axis="axisRow" showAll="0">
      <items count="2">
        <item x="0"/>
        <item t="default"/>
      </items>
    </pivotField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0"/>
    <field x="4"/>
    <field x="3"/>
    <field x="1"/>
  </rowFields>
  <rowItems count="6">
    <i>
      <x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="93" zoomScaleNormal="93" workbookViewId="0">
      <selection activeCell="S11" sqref="S11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0.42578125" bestFit="1" customWidth="1"/>
    <col min="4" max="4" width="10.7109375" bestFit="1" customWidth="1"/>
    <col min="5" max="5" width="8.140625" bestFit="1" customWidth="1"/>
    <col min="6" max="6" width="8.85546875" bestFit="1" customWidth="1"/>
    <col min="7" max="7" width="20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6" t="s">
        <v>85</v>
      </c>
    </row>
    <row r="2" spans="1:16" x14ac:dyDescent="0.25">
      <c r="A2" s="3" t="s">
        <v>6</v>
      </c>
      <c r="B2" s="3" t="s">
        <v>7</v>
      </c>
      <c r="C2" s="3" t="s">
        <v>8</v>
      </c>
      <c r="D2" s="4">
        <v>45505</v>
      </c>
      <c r="E2" s="3">
        <v>50000</v>
      </c>
      <c r="F2" s="3" t="s">
        <v>9</v>
      </c>
      <c r="G2" s="5" t="s">
        <v>86</v>
      </c>
      <c r="J2" s="7" t="s">
        <v>88</v>
      </c>
      <c r="K2" s="7"/>
      <c r="L2" s="7"/>
      <c r="M2" s="7"/>
      <c r="N2" s="7"/>
      <c r="O2" s="7"/>
      <c r="P2" s="7"/>
    </row>
    <row r="3" spans="1:16" x14ac:dyDescent="0.25">
      <c r="A3" s="3" t="s">
        <v>10</v>
      </c>
      <c r="B3" s="3" t="s">
        <v>7</v>
      </c>
      <c r="C3" s="3" t="s">
        <v>11</v>
      </c>
      <c r="D3" s="4">
        <v>45506</v>
      </c>
      <c r="E3" s="3">
        <v>40000</v>
      </c>
      <c r="F3" s="3" t="s">
        <v>9</v>
      </c>
      <c r="G3" s="5" t="s">
        <v>86</v>
      </c>
    </row>
    <row r="4" spans="1:16" x14ac:dyDescent="0.25">
      <c r="A4" s="3" t="s">
        <v>12</v>
      </c>
      <c r="B4" s="3" t="s">
        <v>7</v>
      </c>
      <c r="C4" s="3" t="s">
        <v>13</v>
      </c>
      <c r="D4" s="4">
        <v>45507</v>
      </c>
      <c r="E4" s="3">
        <v>30000</v>
      </c>
      <c r="F4" s="3" t="s">
        <v>9</v>
      </c>
      <c r="G4" s="5" t="s">
        <v>86</v>
      </c>
    </row>
    <row r="5" spans="1:16" x14ac:dyDescent="0.25">
      <c r="A5" s="3" t="s">
        <v>14</v>
      </c>
      <c r="B5" s="3" t="s">
        <v>8</v>
      </c>
      <c r="C5" s="3" t="s">
        <v>15</v>
      </c>
      <c r="D5" s="4">
        <v>45508</v>
      </c>
      <c r="E5" s="3">
        <v>50000</v>
      </c>
      <c r="F5" s="3" t="s">
        <v>9</v>
      </c>
      <c r="G5" s="5" t="s">
        <v>86</v>
      </c>
    </row>
    <row r="6" spans="1:16" x14ac:dyDescent="0.25">
      <c r="A6" s="3" t="s">
        <v>16</v>
      </c>
      <c r="B6" s="3" t="s">
        <v>11</v>
      </c>
      <c r="C6" s="3" t="s">
        <v>17</v>
      </c>
      <c r="D6" s="4">
        <v>45509</v>
      </c>
      <c r="E6" s="3">
        <v>40000</v>
      </c>
      <c r="F6" s="3" t="s">
        <v>9</v>
      </c>
      <c r="G6" s="5" t="s">
        <v>86</v>
      </c>
    </row>
    <row r="7" spans="1:16" x14ac:dyDescent="0.25">
      <c r="A7" s="3" t="s">
        <v>18</v>
      </c>
      <c r="B7" s="3" t="s">
        <v>13</v>
      </c>
      <c r="C7" s="3" t="s">
        <v>19</v>
      </c>
      <c r="D7" s="4">
        <v>45510</v>
      </c>
      <c r="E7" s="3">
        <v>30000</v>
      </c>
      <c r="F7" s="3" t="s">
        <v>9</v>
      </c>
      <c r="G7" s="5" t="s">
        <v>86</v>
      </c>
    </row>
    <row r="8" spans="1:16" x14ac:dyDescent="0.25">
      <c r="A8" s="3" t="s">
        <v>20</v>
      </c>
      <c r="B8" s="3" t="s">
        <v>15</v>
      </c>
      <c r="C8" s="3" t="s">
        <v>21</v>
      </c>
      <c r="D8" s="4">
        <v>45511</v>
      </c>
      <c r="E8" s="3">
        <v>120000</v>
      </c>
      <c r="F8" s="3" t="s">
        <v>9</v>
      </c>
      <c r="G8" s="5" t="s">
        <v>86</v>
      </c>
    </row>
    <row r="9" spans="1:16" x14ac:dyDescent="0.25">
      <c r="A9" s="3" t="s">
        <v>22</v>
      </c>
      <c r="B9" s="3" t="s">
        <v>17</v>
      </c>
      <c r="C9" s="3" t="s">
        <v>21</v>
      </c>
      <c r="D9" s="4">
        <v>45512</v>
      </c>
      <c r="E9" s="3">
        <v>15000</v>
      </c>
      <c r="F9" s="3" t="s">
        <v>9</v>
      </c>
      <c r="G9" s="5" t="s">
        <v>86</v>
      </c>
    </row>
    <row r="10" spans="1:16" x14ac:dyDescent="0.25">
      <c r="A10" s="3" t="s">
        <v>23</v>
      </c>
      <c r="B10" s="3" t="s">
        <v>19</v>
      </c>
      <c r="C10" s="3" t="s">
        <v>21</v>
      </c>
      <c r="D10" s="4">
        <v>45513</v>
      </c>
      <c r="E10" s="3">
        <v>10000</v>
      </c>
      <c r="F10" s="3" t="s">
        <v>9</v>
      </c>
      <c r="G10" s="5" t="s">
        <v>86</v>
      </c>
    </row>
    <row r="11" spans="1:16" x14ac:dyDescent="0.25">
      <c r="A11" s="3" t="s">
        <v>24</v>
      </c>
      <c r="B11" s="3" t="s">
        <v>25</v>
      </c>
      <c r="C11" s="3" t="s">
        <v>21</v>
      </c>
      <c r="D11" s="4">
        <v>45514</v>
      </c>
      <c r="E11" s="3">
        <v>5000</v>
      </c>
      <c r="F11" s="3" t="s">
        <v>9</v>
      </c>
      <c r="G11" s="5" t="s">
        <v>86</v>
      </c>
    </row>
    <row r="17" spans="2:2" x14ac:dyDescent="0.25">
      <c r="B17" t="s">
        <v>87</v>
      </c>
    </row>
  </sheetData>
  <mergeCells count="1">
    <mergeCell ref="J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2A67-30F4-4176-B55E-18446A784E77}">
  <dimension ref="A1:H14"/>
  <sheetViews>
    <sheetView workbookViewId="0">
      <selection activeCell="H19" sqref="H19"/>
    </sheetView>
  </sheetViews>
  <sheetFormatPr defaultRowHeight="15" x14ac:dyDescent="0.25"/>
  <cols>
    <col min="1" max="1" width="13.140625" bestFit="1" customWidth="1"/>
    <col min="2" max="2" width="8.28515625" bestFit="1" customWidth="1"/>
    <col min="3" max="3" width="10.7109375" bestFit="1" customWidth="1"/>
    <col min="4" max="4" width="7.140625" bestFit="1" customWidth="1"/>
    <col min="5" max="5" width="8.140625" bestFit="1" customWidth="1"/>
    <col min="6" max="6" width="8.85546875" bestFit="1" customWidth="1"/>
    <col min="7" max="7" width="12.42578125" bestFit="1" customWidth="1"/>
    <col min="8" max="8" width="23.28515625" bestFit="1" customWidth="1"/>
  </cols>
  <sheetData>
    <row r="1" spans="1:8" x14ac:dyDescent="0.25">
      <c r="A1" s="1" t="s">
        <v>0</v>
      </c>
      <c r="B1" s="1" t="s">
        <v>26</v>
      </c>
      <c r="C1" s="2" t="s">
        <v>3</v>
      </c>
      <c r="D1" s="1" t="s">
        <v>27</v>
      </c>
      <c r="E1" s="1" t="s">
        <v>4</v>
      </c>
      <c r="F1" s="1" t="s">
        <v>5</v>
      </c>
      <c r="G1" s="1" t="s">
        <v>28</v>
      </c>
      <c r="H1" s="1" t="s">
        <v>85</v>
      </c>
    </row>
    <row r="2" spans="1:8" x14ac:dyDescent="0.25">
      <c r="A2" s="3" t="s">
        <v>29</v>
      </c>
      <c r="B2" s="3" t="s">
        <v>30</v>
      </c>
      <c r="C2" s="4">
        <v>45519</v>
      </c>
      <c r="D2" s="3" t="s">
        <v>31</v>
      </c>
      <c r="E2" s="3">
        <v>5000</v>
      </c>
      <c r="F2" s="3" t="s">
        <v>9</v>
      </c>
      <c r="G2" s="3" t="s">
        <v>32</v>
      </c>
      <c r="H2" s="5" t="s">
        <v>89</v>
      </c>
    </row>
    <row r="3" spans="1:8" x14ac:dyDescent="0.25">
      <c r="A3" s="3" t="s">
        <v>33</v>
      </c>
      <c r="B3" s="3" t="s">
        <v>30</v>
      </c>
      <c r="C3" s="4">
        <v>45519.041666666657</v>
      </c>
      <c r="D3" s="3" t="s">
        <v>34</v>
      </c>
      <c r="E3" s="3">
        <v>6000</v>
      </c>
      <c r="F3" s="3" t="s">
        <v>9</v>
      </c>
      <c r="G3" s="3" t="s">
        <v>32</v>
      </c>
      <c r="H3" s="5" t="s">
        <v>89</v>
      </c>
    </row>
    <row r="4" spans="1:8" x14ac:dyDescent="0.25">
      <c r="A4" s="3" t="s">
        <v>35</v>
      </c>
      <c r="B4" s="3" t="s">
        <v>30</v>
      </c>
      <c r="C4" s="4">
        <v>45519.083333333343</v>
      </c>
      <c r="D4" s="3" t="s">
        <v>36</v>
      </c>
      <c r="E4" s="3">
        <v>4500</v>
      </c>
      <c r="F4" s="3" t="s">
        <v>9</v>
      </c>
      <c r="G4" s="3" t="s">
        <v>32</v>
      </c>
      <c r="H4" s="5" t="s">
        <v>89</v>
      </c>
    </row>
    <row r="5" spans="1:8" x14ac:dyDescent="0.25">
      <c r="A5" s="3" t="s">
        <v>37</v>
      </c>
      <c r="B5" s="3" t="s">
        <v>30</v>
      </c>
      <c r="C5" s="4">
        <v>45519.125</v>
      </c>
      <c r="D5" s="3" t="s">
        <v>38</v>
      </c>
      <c r="E5" s="3">
        <v>7000</v>
      </c>
      <c r="F5" s="3" t="s">
        <v>9</v>
      </c>
      <c r="G5" s="3" t="s">
        <v>32</v>
      </c>
      <c r="H5" s="5" t="s">
        <v>89</v>
      </c>
    </row>
    <row r="6" spans="1:8" x14ac:dyDescent="0.25">
      <c r="A6" s="3" t="s">
        <v>39</v>
      </c>
      <c r="B6" s="3" t="s">
        <v>30</v>
      </c>
      <c r="C6" s="4">
        <v>45519.166666666657</v>
      </c>
      <c r="D6" s="3" t="s">
        <v>40</v>
      </c>
      <c r="E6" s="3">
        <v>8000</v>
      </c>
      <c r="F6" s="3" t="s">
        <v>9</v>
      </c>
      <c r="G6" s="3" t="s">
        <v>32</v>
      </c>
      <c r="H6" s="5" t="s">
        <v>89</v>
      </c>
    </row>
    <row r="7" spans="1:8" x14ac:dyDescent="0.25">
      <c r="A7" s="3" t="s">
        <v>41</v>
      </c>
      <c r="B7" s="3" t="s">
        <v>30</v>
      </c>
      <c r="C7" s="4">
        <v>45519.208333333343</v>
      </c>
      <c r="D7" s="3" t="s">
        <v>42</v>
      </c>
      <c r="E7" s="3">
        <v>9000</v>
      </c>
      <c r="F7" s="3" t="s">
        <v>9</v>
      </c>
      <c r="G7" s="3" t="s">
        <v>32</v>
      </c>
      <c r="H7" s="5" t="s">
        <v>89</v>
      </c>
    </row>
    <row r="8" spans="1:8" x14ac:dyDescent="0.25">
      <c r="A8" s="3" t="s">
        <v>43</v>
      </c>
      <c r="B8" s="3" t="s">
        <v>30</v>
      </c>
      <c r="C8" s="4">
        <v>45519.25</v>
      </c>
      <c r="D8" s="3" t="s">
        <v>44</v>
      </c>
      <c r="E8" s="3">
        <v>4000</v>
      </c>
      <c r="F8" s="3" t="s">
        <v>9</v>
      </c>
      <c r="G8" s="3" t="s">
        <v>32</v>
      </c>
      <c r="H8" s="5" t="s">
        <v>89</v>
      </c>
    </row>
    <row r="9" spans="1:8" x14ac:dyDescent="0.25">
      <c r="A9" s="3" t="s">
        <v>45</v>
      </c>
      <c r="B9" s="3" t="s">
        <v>30</v>
      </c>
      <c r="C9" s="4">
        <v>45519.291666666657</v>
      </c>
      <c r="D9" s="3" t="s">
        <v>46</v>
      </c>
      <c r="E9" s="3">
        <v>5500</v>
      </c>
      <c r="F9" s="3" t="s">
        <v>9</v>
      </c>
      <c r="G9" s="3" t="s">
        <v>32</v>
      </c>
      <c r="H9" s="5" t="s">
        <v>89</v>
      </c>
    </row>
    <row r="10" spans="1:8" x14ac:dyDescent="0.25">
      <c r="A10" s="3" t="s">
        <v>47</v>
      </c>
      <c r="B10" s="3" t="s">
        <v>30</v>
      </c>
      <c r="C10" s="4">
        <v>45519.333333333343</v>
      </c>
      <c r="D10" s="3" t="s">
        <v>48</v>
      </c>
      <c r="E10" s="3">
        <v>6500</v>
      </c>
      <c r="F10" s="3" t="s">
        <v>9</v>
      </c>
      <c r="G10" s="3" t="s">
        <v>32</v>
      </c>
      <c r="H10" s="5" t="s">
        <v>89</v>
      </c>
    </row>
    <row r="11" spans="1:8" x14ac:dyDescent="0.25">
      <c r="A11" s="3" t="s">
        <v>49</v>
      </c>
      <c r="B11" s="3" t="s">
        <v>30</v>
      </c>
      <c r="C11" s="4">
        <v>45519.375</v>
      </c>
      <c r="D11" s="3" t="s">
        <v>50</v>
      </c>
      <c r="E11" s="3">
        <v>10000</v>
      </c>
      <c r="F11" s="3" t="s">
        <v>9</v>
      </c>
      <c r="G11" s="3" t="s">
        <v>51</v>
      </c>
      <c r="H11" s="5" t="s">
        <v>90</v>
      </c>
    </row>
    <row r="14" spans="1:8" x14ac:dyDescent="0.25">
      <c r="B14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52E7-F867-4F3A-84DE-CBE184281E82}">
  <dimension ref="A1:G9"/>
  <sheetViews>
    <sheetView workbookViewId="0">
      <selection activeCell="K10" activeCellId="1" sqref="E16:F17 K10"/>
    </sheetView>
  </sheetViews>
  <sheetFormatPr defaultRowHeight="15" x14ac:dyDescent="0.25"/>
  <cols>
    <col min="1" max="1" width="13.140625" bestFit="1" customWidth="1"/>
    <col min="2" max="2" width="8.28515625" bestFit="1" customWidth="1"/>
    <col min="3" max="3" width="10.7109375" bestFit="1" customWidth="1"/>
    <col min="4" max="4" width="8.140625" bestFit="1" customWidth="1"/>
    <col min="5" max="5" width="8.85546875" bestFit="1" customWidth="1"/>
    <col min="6" max="6" width="11.140625" bestFit="1" customWidth="1"/>
    <col min="7" max="7" width="19.42578125" bestFit="1" customWidth="1"/>
  </cols>
  <sheetData>
    <row r="1" spans="1:7" x14ac:dyDescent="0.25">
      <c r="A1" s="1" t="s">
        <v>0</v>
      </c>
      <c r="B1" s="1" t="s">
        <v>26</v>
      </c>
      <c r="C1" s="2" t="s">
        <v>3</v>
      </c>
      <c r="D1" s="1" t="s">
        <v>4</v>
      </c>
      <c r="E1" s="1" t="s">
        <v>5</v>
      </c>
      <c r="F1" s="1" t="s">
        <v>52</v>
      </c>
      <c r="G1" s="9" t="s">
        <v>85</v>
      </c>
    </row>
    <row r="2" spans="1:7" x14ac:dyDescent="0.25">
      <c r="A2" s="3" t="s">
        <v>53</v>
      </c>
      <c r="B2" s="3" t="s">
        <v>54</v>
      </c>
      <c r="C2" s="4">
        <v>45536</v>
      </c>
      <c r="D2" s="3">
        <v>20000</v>
      </c>
      <c r="E2" s="3" t="s">
        <v>9</v>
      </c>
      <c r="F2" s="3" t="s">
        <v>55</v>
      </c>
      <c r="G2" s="10" t="s">
        <v>97</v>
      </c>
    </row>
    <row r="3" spans="1:7" x14ac:dyDescent="0.25">
      <c r="A3" s="3" t="s">
        <v>56</v>
      </c>
      <c r="B3" s="3" t="s">
        <v>54</v>
      </c>
      <c r="C3" s="4">
        <v>45536.25</v>
      </c>
      <c r="D3" s="3">
        <v>-20000</v>
      </c>
      <c r="E3" s="3" t="s">
        <v>9</v>
      </c>
      <c r="F3" s="3" t="s">
        <v>57</v>
      </c>
      <c r="G3" s="10" t="s">
        <v>97</v>
      </c>
    </row>
    <row r="4" spans="1:7" x14ac:dyDescent="0.25">
      <c r="A4" s="3" t="s">
        <v>58</v>
      </c>
      <c r="B4" s="3" t="s">
        <v>54</v>
      </c>
      <c r="C4" s="4">
        <v>45536.5</v>
      </c>
      <c r="D4" s="3">
        <v>15000</v>
      </c>
      <c r="E4" s="3" t="s">
        <v>9</v>
      </c>
      <c r="F4" s="3" t="s">
        <v>55</v>
      </c>
      <c r="G4" s="10" t="s">
        <v>97</v>
      </c>
    </row>
    <row r="5" spans="1:7" x14ac:dyDescent="0.25">
      <c r="A5" s="3" t="s">
        <v>59</v>
      </c>
      <c r="B5" s="3" t="s">
        <v>54</v>
      </c>
      <c r="C5" s="4">
        <v>45536.75</v>
      </c>
      <c r="D5" s="3">
        <v>-15000</v>
      </c>
      <c r="E5" s="3" t="s">
        <v>9</v>
      </c>
      <c r="F5" s="3" t="s">
        <v>57</v>
      </c>
      <c r="G5" s="10" t="s">
        <v>97</v>
      </c>
    </row>
    <row r="6" spans="1:7" x14ac:dyDescent="0.25">
      <c r="A6" s="3" t="s">
        <v>60</v>
      </c>
      <c r="B6" s="3" t="s">
        <v>54</v>
      </c>
      <c r="C6" s="4">
        <v>45537</v>
      </c>
      <c r="D6" s="3">
        <v>30000</v>
      </c>
      <c r="E6" s="3" t="s">
        <v>9</v>
      </c>
      <c r="F6" s="3" t="s">
        <v>55</v>
      </c>
      <c r="G6" s="11" t="s">
        <v>97</v>
      </c>
    </row>
    <row r="7" spans="1:7" x14ac:dyDescent="0.25">
      <c r="A7" s="3" t="s">
        <v>61</v>
      </c>
      <c r="B7" s="3" t="s">
        <v>54</v>
      </c>
      <c r="C7" s="4">
        <v>45537.25</v>
      </c>
      <c r="D7" s="3">
        <v>-30000</v>
      </c>
      <c r="E7" s="3" t="s">
        <v>9</v>
      </c>
      <c r="F7" s="3" t="s">
        <v>57</v>
      </c>
      <c r="G7" s="11" t="s">
        <v>97</v>
      </c>
    </row>
    <row r="8" spans="1:7" x14ac:dyDescent="0.25">
      <c r="A8" s="3" t="s">
        <v>62</v>
      </c>
      <c r="B8" s="3" t="s">
        <v>54</v>
      </c>
      <c r="C8" s="4">
        <v>45537.5</v>
      </c>
      <c r="D8" s="3">
        <v>10000</v>
      </c>
      <c r="E8" s="3" t="s">
        <v>9</v>
      </c>
      <c r="F8" s="3" t="s">
        <v>55</v>
      </c>
      <c r="G8" s="11" t="s">
        <v>97</v>
      </c>
    </row>
    <row r="9" spans="1:7" x14ac:dyDescent="0.25">
      <c r="A9" s="3" t="s">
        <v>63</v>
      </c>
      <c r="B9" s="3" t="s">
        <v>54</v>
      </c>
      <c r="C9" s="4">
        <v>45537.75</v>
      </c>
      <c r="D9" s="3">
        <v>-10000</v>
      </c>
      <c r="E9" s="3" t="s">
        <v>9</v>
      </c>
      <c r="F9" s="3" t="s">
        <v>57</v>
      </c>
      <c r="G9" s="1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5C5D-2B68-4254-857B-87501A7007C7}">
  <dimension ref="A1:I16"/>
  <sheetViews>
    <sheetView zoomScaleNormal="100" workbookViewId="0">
      <selection activeCell="I13" sqref="I13"/>
    </sheetView>
  </sheetViews>
  <sheetFormatPr defaultRowHeight="15" x14ac:dyDescent="0.25"/>
  <cols>
    <col min="1" max="1" width="13.140625" bestFit="1" customWidth="1"/>
    <col min="2" max="2" width="8.28515625" bestFit="1" customWidth="1"/>
    <col min="3" max="3" width="10.7109375" bestFit="1" customWidth="1"/>
    <col min="4" max="4" width="8.140625" bestFit="1" customWidth="1"/>
    <col min="5" max="5" width="8.85546875" bestFit="1" customWidth="1"/>
    <col min="6" max="6" width="12.42578125" bestFit="1" customWidth="1"/>
    <col min="7" max="7" width="19.42578125" bestFit="1" customWidth="1"/>
    <col min="8" max="8" width="13.140625" bestFit="1" customWidth="1"/>
    <col min="9" max="9" width="14.85546875" bestFit="1" customWidth="1"/>
    <col min="10" max="10" width="16.28515625" bestFit="1" customWidth="1"/>
  </cols>
  <sheetData>
    <row r="1" spans="1:9" x14ac:dyDescent="0.25">
      <c r="A1" s="1" t="s">
        <v>0</v>
      </c>
      <c r="B1" s="1" t="s">
        <v>26</v>
      </c>
      <c r="C1" s="2" t="s">
        <v>3</v>
      </c>
      <c r="D1" s="1" t="s">
        <v>4</v>
      </c>
      <c r="E1" s="1" t="s">
        <v>5</v>
      </c>
      <c r="F1" s="1" t="s">
        <v>28</v>
      </c>
      <c r="G1" s="8" t="s">
        <v>85</v>
      </c>
    </row>
    <row r="2" spans="1:9" x14ac:dyDescent="0.25">
      <c r="A2" s="3" t="s">
        <v>64</v>
      </c>
      <c r="B2" s="3" t="s">
        <v>65</v>
      </c>
      <c r="C2" s="4">
        <v>45444</v>
      </c>
      <c r="D2" s="3">
        <v>9500</v>
      </c>
      <c r="E2" s="3" t="s">
        <v>9</v>
      </c>
      <c r="F2" s="3" t="s">
        <v>32</v>
      </c>
      <c r="G2" s="3" t="s">
        <v>110</v>
      </c>
    </row>
    <row r="3" spans="1:9" x14ac:dyDescent="0.25">
      <c r="A3" s="3" t="s">
        <v>66</v>
      </c>
      <c r="B3" s="3" t="s">
        <v>65</v>
      </c>
      <c r="C3" s="4">
        <v>45451</v>
      </c>
      <c r="D3" s="3">
        <v>9800</v>
      </c>
      <c r="E3" s="3" t="s">
        <v>9</v>
      </c>
      <c r="F3" s="3" t="s">
        <v>32</v>
      </c>
      <c r="G3" s="3" t="s">
        <v>110</v>
      </c>
      <c r="H3" s="12" t="s">
        <v>103</v>
      </c>
      <c r="I3" t="s">
        <v>109</v>
      </c>
    </row>
    <row r="4" spans="1:9" x14ac:dyDescent="0.25">
      <c r="A4" s="3" t="s">
        <v>67</v>
      </c>
      <c r="B4" s="3" t="s">
        <v>65</v>
      </c>
      <c r="C4" s="4">
        <v>45458</v>
      </c>
      <c r="D4" s="3">
        <v>9700</v>
      </c>
      <c r="E4" s="3" t="s">
        <v>9</v>
      </c>
      <c r="F4" s="3" t="s">
        <v>32</v>
      </c>
      <c r="G4" s="3" t="s">
        <v>110</v>
      </c>
      <c r="H4" s="13" t="s">
        <v>65</v>
      </c>
      <c r="I4" s="14">
        <v>142650</v>
      </c>
    </row>
    <row r="5" spans="1:9" x14ac:dyDescent="0.25">
      <c r="A5" s="3" t="s">
        <v>68</v>
      </c>
      <c r="B5" s="3" t="s">
        <v>65</v>
      </c>
      <c r="C5" s="4">
        <v>45465</v>
      </c>
      <c r="D5" s="3">
        <v>9400</v>
      </c>
      <c r="E5" s="3" t="s">
        <v>9</v>
      </c>
      <c r="F5" s="3" t="s">
        <v>32</v>
      </c>
      <c r="G5" s="3" t="s">
        <v>110</v>
      </c>
      <c r="H5" s="15" t="s">
        <v>105</v>
      </c>
      <c r="I5" s="14">
        <v>48000</v>
      </c>
    </row>
    <row r="6" spans="1:9" x14ac:dyDescent="0.25">
      <c r="A6" s="3" t="s">
        <v>69</v>
      </c>
      <c r="B6" s="3" t="s">
        <v>65</v>
      </c>
      <c r="C6" s="4">
        <v>45472</v>
      </c>
      <c r="D6" s="3">
        <v>9600</v>
      </c>
      <c r="E6" s="3" t="s">
        <v>9</v>
      </c>
      <c r="F6" s="3" t="s">
        <v>32</v>
      </c>
      <c r="G6" s="3" t="s">
        <v>110</v>
      </c>
      <c r="H6" s="15" t="s">
        <v>106</v>
      </c>
      <c r="I6" s="14">
        <v>37000</v>
      </c>
    </row>
    <row r="7" spans="1:9" x14ac:dyDescent="0.25">
      <c r="A7" s="3" t="s">
        <v>70</v>
      </c>
      <c r="B7" s="3" t="s">
        <v>65</v>
      </c>
      <c r="C7" s="4">
        <v>45479</v>
      </c>
      <c r="D7" s="3">
        <v>9100</v>
      </c>
      <c r="E7" s="3" t="s">
        <v>9</v>
      </c>
      <c r="F7" s="3" t="s">
        <v>32</v>
      </c>
      <c r="G7" s="3" t="s">
        <v>110</v>
      </c>
      <c r="H7" s="15" t="s">
        <v>107</v>
      </c>
      <c r="I7" s="14">
        <v>48250</v>
      </c>
    </row>
    <row r="8" spans="1:9" x14ac:dyDescent="0.25">
      <c r="A8" s="3" t="s">
        <v>71</v>
      </c>
      <c r="B8" s="3" t="s">
        <v>65</v>
      </c>
      <c r="C8" s="4">
        <v>45486</v>
      </c>
      <c r="D8" s="3">
        <v>9900</v>
      </c>
      <c r="E8" s="3" t="s">
        <v>9</v>
      </c>
      <c r="F8" s="3" t="s">
        <v>32</v>
      </c>
      <c r="G8" s="3" t="s">
        <v>110</v>
      </c>
      <c r="H8" s="15" t="s">
        <v>108</v>
      </c>
      <c r="I8" s="14">
        <v>9400</v>
      </c>
    </row>
    <row r="9" spans="1:9" x14ac:dyDescent="0.25">
      <c r="A9" s="3" t="s">
        <v>72</v>
      </c>
      <c r="B9" s="3" t="s">
        <v>65</v>
      </c>
      <c r="C9" s="4">
        <v>45493</v>
      </c>
      <c r="D9" s="3">
        <v>9200</v>
      </c>
      <c r="E9" s="3" t="s">
        <v>9</v>
      </c>
      <c r="F9" s="3" t="s">
        <v>32</v>
      </c>
      <c r="G9" s="3" t="s">
        <v>110</v>
      </c>
      <c r="H9" s="13" t="s">
        <v>104</v>
      </c>
      <c r="I9" s="14">
        <v>142650</v>
      </c>
    </row>
    <row r="10" spans="1:9" x14ac:dyDescent="0.25">
      <c r="A10" s="3" t="s">
        <v>73</v>
      </c>
      <c r="B10" s="3" t="s">
        <v>65</v>
      </c>
      <c r="C10" s="4">
        <v>45500</v>
      </c>
      <c r="D10" s="3">
        <v>8800</v>
      </c>
      <c r="E10" s="3" t="s">
        <v>9</v>
      </c>
      <c r="F10" s="3" t="s">
        <v>32</v>
      </c>
      <c r="G10" s="3" t="s">
        <v>110</v>
      </c>
    </row>
    <row r="11" spans="1:9" x14ac:dyDescent="0.25">
      <c r="A11" s="3" t="s">
        <v>74</v>
      </c>
      <c r="B11" s="3" t="s">
        <v>65</v>
      </c>
      <c r="C11" s="4">
        <v>45507</v>
      </c>
      <c r="D11" s="3">
        <v>9700</v>
      </c>
      <c r="E11" s="3" t="s">
        <v>9</v>
      </c>
      <c r="F11" s="3" t="s">
        <v>32</v>
      </c>
      <c r="G11" s="3" t="s">
        <v>110</v>
      </c>
    </row>
    <row r="12" spans="1:9" x14ac:dyDescent="0.25">
      <c r="A12" s="3" t="s">
        <v>75</v>
      </c>
      <c r="B12" s="3" t="s">
        <v>65</v>
      </c>
      <c r="C12" s="4">
        <v>45514</v>
      </c>
      <c r="D12" s="3">
        <v>9500</v>
      </c>
      <c r="E12" s="3" t="s">
        <v>9</v>
      </c>
      <c r="F12" s="3" t="s">
        <v>32</v>
      </c>
      <c r="G12" s="3" t="s">
        <v>110</v>
      </c>
    </row>
    <row r="13" spans="1:9" x14ac:dyDescent="0.25">
      <c r="A13" s="3" t="s">
        <v>76</v>
      </c>
      <c r="B13" s="3" t="s">
        <v>65</v>
      </c>
      <c r="C13" s="4">
        <v>45521</v>
      </c>
      <c r="D13" s="3">
        <v>9900</v>
      </c>
      <c r="E13" s="3" t="s">
        <v>9</v>
      </c>
      <c r="F13" s="3" t="s">
        <v>32</v>
      </c>
      <c r="G13" s="3" t="s">
        <v>110</v>
      </c>
    </row>
    <row r="14" spans="1:9" x14ac:dyDescent="0.25">
      <c r="A14" s="3" t="s">
        <v>77</v>
      </c>
      <c r="B14" s="3" t="s">
        <v>65</v>
      </c>
      <c r="C14" s="4">
        <v>45528</v>
      </c>
      <c r="D14" s="3">
        <v>9850</v>
      </c>
      <c r="E14" s="3" t="s">
        <v>9</v>
      </c>
      <c r="F14" s="3" t="s">
        <v>32</v>
      </c>
      <c r="G14" s="3" t="s">
        <v>110</v>
      </c>
    </row>
    <row r="15" spans="1:9" x14ac:dyDescent="0.25">
      <c r="A15" s="3" t="s">
        <v>78</v>
      </c>
      <c r="B15" s="3" t="s">
        <v>65</v>
      </c>
      <c r="C15" s="4">
        <v>45535</v>
      </c>
      <c r="D15" s="3">
        <v>9300</v>
      </c>
      <c r="E15" s="3" t="s">
        <v>9</v>
      </c>
      <c r="F15" s="3" t="s">
        <v>32</v>
      </c>
      <c r="G15" s="3" t="s">
        <v>110</v>
      </c>
    </row>
    <row r="16" spans="1:9" x14ac:dyDescent="0.25">
      <c r="A16" s="3" t="s">
        <v>79</v>
      </c>
      <c r="B16" s="3" t="s">
        <v>65</v>
      </c>
      <c r="C16" s="4">
        <v>45542</v>
      </c>
      <c r="D16" s="3">
        <v>9400</v>
      </c>
      <c r="E16" s="3" t="s">
        <v>9</v>
      </c>
      <c r="F16" s="3" t="s">
        <v>32</v>
      </c>
      <c r="G16" s="3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356E-7190-4EC3-8A49-3B9D44EA977C}">
  <dimension ref="A1:F22"/>
  <sheetViews>
    <sheetView zoomScale="80" zoomScaleNormal="80" workbookViewId="0">
      <selection activeCell="D9" sqref="D9"/>
    </sheetView>
  </sheetViews>
  <sheetFormatPr defaultRowHeight="15" x14ac:dyDescent="0.25"/>
  <cols>
    <col min="1" max="1" width="24.85546875" bestFit="1" customWidth="1"/>
    <col min="2" max="2" width="14.42578125" customWidth="1"/>
    <col min="3" max="3" width="21" bestFit="1" customWidth="1"/>
    <col min="4" max="4" width="53.42578125" customWidth="1"/>
    <col min="5" max="5" width="15" customWidth="1"/>
    <col min="6" max="6" width="68.140625" bestFit="1" customWidth="1"/>
  </cols>
  <sheetData>
    <row r="1" spans="1:6" x14ac:dyDescent="0.25">
      <c r="A1" s="1" t="s">
        <v>3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 x14ac:dyDescent="0.25">
      <c r="A2" s="17" t="s">
        <v>116</v>
      </c>
      <c r="B2" s="17" t="s">
        <v>117</v>
      </c>
      <c r="C2" s="16" t="s">
        <v>118</v>
      </c>
      <c r="D2" s="16" t="s">
        <v>119</v>
      </c>
      <c r="E2" s="17" t="s">
        <v>95</v>
      </c>
      <c r="F2" s="17" t="s">
        <v>120</v>
      </c>
    </row>
    <row r="3" spans="1:6" x14ac:dyDescent="0.25">
      <c r="A3" s="18">
        <v>45519</v>
      </c>
      <c r="B3" s="3" t="s">
        <v>93</v>
      </c>
      <c r="C3" s="3" t="s">
        <v>92</v>
      </c>
      <c r="D3" s="3" t="s">
        <v>94</v>
      </c>
      <c r="E3" s="3" t="s">
        <v>95</v>
      </c>
      <c r="F3" s="3" t="s">
        <v>96</v>
      </c>
    </row>
    <row r="4" spans="1:6" x14ac:dyDescent="0.25">
      <c r="A4" s="18">
        <v>45536</v>
      </c>
      <c r="B4" s="3" t="s">
        <v>98</v>
      </c>
      <c r="C4" s="3" t="s">
        <v>100</v>
      </c>
      <c r="D4" s="3" t="s">
        <v>101</v>
      </c>
      <c r="E4" s="3" t="s">
        <v>95</v>
      </c>
      <c r="F4" s="3" t="s">
        <v>102</v>
      </c>
    </row>
    <row r="5" spans="1:6" x14ac:dyDescent="0.25">
      <c r="A5" s="18">
        <v>45537</v>
      </c>
      <c r="B5" s="3" t="s">
        <v>99</v>
      </c>
      <c r="C5" s="3" t="s">
        <v>100</v>
      </c>
      <c r="D5" s="3" t="s">
        <v>101</v>
      </c>
      <c r="E5" s="3" t="s">
        <v>95</v>
      </c>
      <c r="F5" s="3" t="s">
        <v>115</v>
      </c>
    </row>
    <row r="6" spans="1:6" x14ac:dyDescent="0.25">
      <c r="A6" s="3" t="s">
        <v>111</v>
      </c>
      <c r="B6" s="3" t="s">
        <v>121</v>
      </c>
      <c r="C6" s="3" t="s">
        <v>112</v>
      </c>
      <c r="D6" s="3" t="s">
        <v>113</v>
      </c>
      <c r="E6" s="3" t="s">
        <v>95</v>
      </c>
      <c r="F6" s="3" t="s">
        <v>114</v>
      </c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Layering</vt:lpstr>
      <vt:lpstr>FunnelAccount</vt:lpstr>
      <vt:lpstr>RoundTripping</vt:lpstr>
      <vt:lpstr>StructuringOverTime</vt:lpstr>
      <vt:lpstr>Case_Log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Suresh</dc:creator>
  <cp:lastModifiedBy>Shadrack Kipruto</cp:lastModifiedBy>
  <dcterms:created xsi:type="dcterms:W3CDTF">2015-06-05T18:17:20Z</dcterms:created>
  <dcterms:modified xsi:type="dcterms:W3CDTF">2026-01-15T02:20:48Z</dcterms:modified>
</cp:coreProperties>
</file>