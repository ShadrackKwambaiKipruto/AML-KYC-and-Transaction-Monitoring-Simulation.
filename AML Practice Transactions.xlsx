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Job Applications\2025\Canada Applications\AML,KYC Bootcamp\Dataset\"/>
    </mc:Choice>
  </mc:AlternateContent>
  <xr:revisionPtr revIDLastSave="0" documentId="13_ncr:1_{1DAF3992-4A91-4C54-8A08-7D40BB245125}" xr6:coauthVersionLast="47" xr6:coauthVersionMax="47" xr10:uidLastSave="{00000000-0000-0000-0000-000000000000}"/>
  <bookViews>
    <workbookView xWindow="-120" yWindow="-120" windowWidth="20730" windowHeight="11040" xr2:uid="{7AE3ADD0-0232-4183-874C-B5A491C4A766}"/>
  </bookViews>
  <sheets>
    <sheet name="Transactions" sheetId="1" r:id="rId1"/>
    <sheet name="Customers" sheetId="2" r:id="rId2"/>
    <sheet name="Sanctions_PEP" sheetId="3" r:id="rId3"/>
    <sheet name="Case_Log" sheetId="4" r:id="rId4"/>
  </sheets>
  <definedNames>
    <definedName name="_xlnm._FilterDatabase" localSheetId="0" hidden="1">Transactions!$A$1:$G$101</definedName>
  </definedName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2" l="1"/>
  <c r="G10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2" i="2"/>
</calcChain>
</file>

<file path=xl/sharedStrings.xml><?xml version="1.0" encoding="utf-8"?>
<sst xmlns="http://schemas.openxmlformats.org/spreadsheetml/2006/main" count="1203" uniqueCount="413">
  <si>
    <t>TransactionID</t>
  </si>
  <si>
    <t>Date</t>
  </si>
  <si>
    <t>Amount</t>
  </si>
  <si>
    <t>Currency</t>
  </si>
  <si>
    <t>Country</t>
  </si>
  <si>
    <t>Channel</t>
  </si>
  <si>
    <t>CustomerID</t>
  </si>
  <si>
    <t>T001</t>
  </si>
  <si>
    <t>USD</t>
  </si>
  <si>
    <t>US</t>
  </si>
  <si>
    <t>Wire</t>
  </si>
  <si>
    <t>T002</t>
  </si>
  <si>
    <t>T003</t>
  </si>
  <si>
    <t>RU</t>
  </si>
  <si>
    <t>T004</t>
  </si>
  <si>
    <t>T005</t>
  </si>
  <si>
    <t>IN</t>
  </si>
  <si>
    <t>ACH</t>
  </si>
  <si>
    <t>T006</t>
  </si>
  <si>
    <t>CN</t>
  </si>
  <si>
    <t>T007</t>
  </si>
  <si>
    <t>T008</t>
  </si>
  <si>
    <t>IR</t>
  </si>
  <si>
    <t>T009</t>
  </si>
  <si>
    <t>T010</t>
  </si>
  <si>
    <t>FR</t>
  </si>
  <si>
    <t>Card</t>
  </si>
  <si>
    <t>T011</t>
  </si>
  <si>
    <t>EUR</t>
  </si>
  <si>
    <t>T012</t>
  </si>
  <si>
    <t>BR</t>
  </si>
  <si>
    <t>Wallet</t>
  </si>
  <si>
    <t>T013</t>
  </si>
  <si>
    <t>T014</t>
  </si>
  <si>
    <t>T015</t>
  </si>
  <si>
    <t>AE</t>
  </si>
  <si>
    <t>T016</t>
  </si>
  <si>
    <t>GBP</t>
  </si>
  <si>
    <t>T017</t>
  </si>
  <si>
    <t>Crypto</t>
  </si>
  <si>
    <t>T018</t>
  </si>
  <si>
    <t>T019</t>
  </si>
  <si>
    <t>T020</t>
  </si>
  <si>
    <t>NG</t>
  </si>
  <si>
    <t>Name</t>
  </si>
  <si>
    <t>DOB</t>
  </si>
  <si>
    <t>RiskRating</t>
  </si>
  <si>
    <t>Occupation</t>
  </si>
  <si>
    <t>Low</t>
  </si>
  <si>
    <t>Medium</t>
  </si>
  <si>
    <t>High</t>
  </si>
  <si>
    <t>Banker</t>
  </si>
  <si>
    <t>Trader</t>
  </si>
  <si>
    <t>Doctor</t>
  </si>
  <si>
    <t>Consultant</t>
  </si>
  <si>
    <t>Lawyer</t>
  </si>
  <si>
    <t>Designer</t>
  </si>
  <si>
    <t>Manager</t>
  </si>
  <si>
    <t>Accountant</t>
  </si>
  <si>
    <t>Student</t>
  </si>
  <si>
    <t>Developer</t>
  </si>
  <si>
    <t>Nurse</t>
  </si>
  <si>
    <t>Pilot</t>
  </si>
  <si>
    <t>C001</t>
  </si>
  <si>
    <t>ZA</t>
  </si>
  <si>
    <t>Farmer</t>
  </si>
  <si>
    <t>C002</t>
  </si>
  <si>
    <t>Bumblebee Tariq</t>
  </si>
  <si>
    <t>PK</t>
  </si>
  <si>
    <t>Hospital Admin</t>
  </si>
  <si>
    <t>C003</t>
  </si>
  <si>
    <t>Megatron King</t>
  </si>
  <si>
    <t>AU</t>
  </si>
  <si>
    <t>Police</t>
  </si>
  <si>
    <t>C004</t>
  </si>
  <si>
    <t>Jazz Jones</t>
  </si>
  <si>
    <t>UK</t>
  </si>
  <si>
    <t>Chef</t>
  </si>
  <si>
    <t>C005</t>
  </si>
  <si>
    <t>Ratchet Tan</t>
  </si>
  <si>
    <t>SG</t>
  </si>
  <si>
    <t>Retired</t>
  </si>
  <si>
    <t>C006</t>
  </si>
  <si>
    <t>Arcee Silva</t>
  </si>
  <si>
    <t>C007</t>
  </si>
  <si>
    <t>UltraMagnus Jones</t>
  </si>
  <si>
    <t>C008</t>
  </si>
  <si>
    <t>Starscream Lee</t>
  </si>
  <si>
    <t>KR</t>
  </si>
  <si>
    <t>Retail</t>
  </si>
  <si>
    <t>C009</t>
  </si>
  <si>
    <t>Ironhide Ali</t>
  </si>
  <si>
    <t>C010</t>
  </si>
  <si>
    <t>Soundwave Kim</t>
  </si>
  <si>
    <t>C011</t>
  </si>
  <si>
    <t>Blaster Tan</t>
  </si>
  <si>
    <t>C012</t>
  </si>
  <si>
    <t>Wheeljack Jensen</t>
  </si>
  <si>
    <t>SE</t>
  </si>
  <si>
    <t>Tech Analyst</t>
  </si>
  <si>
    <t>C013</t>
  </si>
  <si>
    <t>HotRod Magnus</t>
  </si>
  <si>
    <t>HU</t>
  </si>
  <si>
    <t>C014</t>
  </si>
  <si>
    <t>Galvatron Okafor</t>
  </si>
  <si>
    <t>C015</t>
  </si>
  <si>
    <t>Springer Scott</t>
  </si>
  <si>
    <t>CA</t>
  </si>
  <si>
    <t>Chemist</t>
  </si>
  <si>
    <t>C016</t>
  </si>
  <si>
    <t>Perceptor Kim</t>
  </si>
  <si>
    <t>NGO Worker</t>
  </si>
  <si>
    <t>C017</t>
  </si>
  <si>
    <t>Grimlock Ivanov</t>
  </si>
  <si>
    <t>C018</t>
  </si>
  <si>
    <t>Drift Petros</t>
  </si>
  <si>
    <t>GR</t>
  </si>
  <si>
    <t>Merchant</t>
  </si>
  <si>
    <t>C019</t>
  </si>
  <si>
    <t>Bulkhead Durand</t>
  </si>
  <si>
    <t>C020</t>
  </si>
  <si>
    <t>Knockout Yilmaz</t>
  </si>
  <si>
    <t>TR</t>
  </si>
  <si>
    <t>Type</t>
  </si>
  <si>
    <t>Optimus Kim</t>
  </si>
  <si>
    <t>Sanctions</t>
  </si>
  <si>
    <t>Leia Rahman</t>
  </si>
  <si>
    <t>PEP</t>
  </si>
  <si>
    <t>Tony Ali</t>
  </si>
  <si>
    <t>Han Magnus</t>
  </si>
  <si>
    <t>Diana Tariq</t>
  </si>
  <si>
    <t>Yoda Petros</t>
  </si>
  <si>
    <t>Jazz Amin</t>
  </si>
  <si>
    <t>Jyn Omori</t>
  </si>
  <si>
    <t>Rogers Ivanov</t>
  </si>
  <si>
    <t>Arcee Okafor</t>
  </si>
  <si>
    <t>AlertID</t>
  </si>
  <si>
    <t>Action Taken</t>
  </si>
  <si>
    <t>Escalation Status</t>
  </si>
  <si>
    <t>Notes</t>
  </si>
  <si>
    <t>ALRT001</t>
  </si>
  <si>
    <t>No action needed</t>
  </si>
  <si>
    <t>Investigated</t>
  </si>
  <si>
    <t>Sample case note for No action needed.</t>
  </si>
  <si>
    <t>ALRT002</t>
  </si>
  <si>
    <t>Escalated</t>
  </si>
  <si>
    <t>ALRT003</t>
  </si>
  <si>
    <t>KYC updated</t>
  </si>
  <si>
    <t>Closed</t>
  </si>
  <si>
    <t>Sample case note for KYC updated.</t>
  </si>
  <si>
    <t>ALRT004</t>
  </si>
  <si>
    <t>Transaction flagged</t>
  </si>
  <si>
    <t>Sample case note for Transaction flagged.</t>
  </si>
  <si>
    <t>BD</t>
  </si>
  <si>
    <t>JP</t>
  </si>
  <si>
    <t>C021</t>
  </si>
  <si>
    <t>Rumble Jensen</t>
  </si>
  <si>
    <t>Receptionist</t>
  </si>
  <si>
    <t>C022</t>
  </si>
  <si>
    <t>Luke Chong</t>
  </si>
  <si>
    <t>MY</t>
  </si>
  <si>
    <t>Homemaker</t>
  </si>
  <si>
    <t>C023</t>
  </si>
  <si>
    <t>Leia Abdullah</t>
  </si>
  <si>
    <t>SA</t>
  </si>
  <si>
    <t>C024</t>
  </si>
  <si>
    <t>Han Sato</t>
  </si>
  <si>
    <t>C025</t>
  </si>
  <si>
    <t>Rey Omori</t>
  </si>
  <si>
    <t>C026</t>
  </si>
  <si>
    <t>Finn Santos</t>
  </si>
  <si>
    <t>C027</t>
  </si>
  <si>
    <t>Kylo Larsen</t>
  </si>
  <si>
    <t>DK</t>
  </si>
  <si>
    <t>C028</t>
  </si>
  <si>
    <t>ObiWan Kovacs</t>
  </si>
  <si>
    <t>C029</t>
  </si>
  <si>
    <t>Anakin Scott</t>
  </si>
  <si>
    <t>C030</t>
  </si>
  <si>
    <t>Padme Amin</t>
  </si>
  <si>
    <t>C031</t>
  </si>
  <si>
    <t>Yoda Magnus</t>
  </si>
  <si>
    <t>C032</t>
  </si>
  <si>
    <t>Palpatine Mendes</t>
  </si>
  <si>
    <t>C033</t>
  </si>
  <si>
    <t>Mace Hassan</t>
  </si>
  <si>
    <t>EG</t>
  </si>
  <si>
    <t>C034</t>
  </si>
  <si>
    <t>Chewbacca Smith</t>
  </si>
  <si>
    <t>C035</t>
  </si>
  <si>
    <t>Lando Kim</t>
  </si>
  <si>
    <t>Public Servant</t>
  </si>
  <si>
    <t>C036</t>
  </si>
  <si>
    <t>Ahsoka Durand</t>
  </si>
  <si>
    <t>C037</t>
  </si>
  <si>
    <t>Jyn Abdullah</t>
  </si>
  <si>
    <t>C038</t>
  </si>
  <si>
    <t>Cassian Petros</t>
  </si>
  <si>
    <t>C039</t>
  </si>
  <si>
    <t>Ezra Mendes</t>
  </si>
  <si>
    <t>C040</t>
  </si>
  <si>
    <t>Sabine Larsen</t>
  </si>
  <si>
    <t>C041</t>
  </si>
  <si>
    <t>Kanan Jensen</t>
  </si>
  <si>
    <t>C042</t>
  </si>
  <si>
    <t>Jango Santos</t>
  </si>
  <si>
    <t>C043</t>
  </si>
  <si>
    <t>Tony Kim</t>
  </si>
  <si>
    <t>C044</t>
  </si>
  <si>
    <t>Bruce King</t>
  </si>
  <si>
    <t>C045</t>
  </si>
  <si>
    <t>Peter Okafor</t>
  </si>
  <si>
    <t>Bank Teller</t>
  </si>
  <si>
    <t>C046</t>
  </si>
  <si>
    <t>Natasha Ali</t>
  </si>
  <si>
    <t>C047</t>
  </si>
  <si>
    <t>Wanda Amin</t>
  </si>
  <si>
    <t>C048</t>
  </si>
  <si>
    <t>Logan Durand</t>
  </si>
  <si>
    <t>C049</t>
  </si>
  <si>
    <t>Clark Kim</t>
  </si>
  <si>
    <t>C050</t>
  </si>
  <si>
    <t>C051</t>
  </si>
  <si>
    <t>Barry Sato</t>
  </si>
  <si>
    <t>C052</t>
  </si>
  <si>
    <t>Arthur Jyn</t>
  </si>
  <si>
    <t>MM</t>
  </si>
  <si>
    <t>C053</t>
  </si>
  <si>
    <t>Steve Jensen</t>
  </si>
  <si>
    <t>C054</t>
  </si>
  <si>
    <t>TChalla Yilmaz</t>
  </si>
  <si>
    <t>C055</t>
  </si>
  <si>
    <t>C056</t>
  </si>
  <si>
    <t>Thor Petros</t>
  </si>
  <si>
    <t>C057</t>
  </si>
  <si>
    <t>Pepper Amin</t>
  </si>
  <si>
    <t>Artist</t>
  </si>
  <si>
    <t>C058</t>
  </si>
  <si>
    <t>Scott Magnus</t>
  </si>
  <si>
    <t>C059</t>
  </si>
  <si>
    <t>Bucky Nguyen</t>
  </si>
  <si>
    <t>VN</t>
  </si>
  <si>
    <t>C060</t>
  </si>
  <si>
    <t>Vision Okafor</t>
  </si>
  <si>
    <t>C061</t>
  </si>
  <si>
    <t>Joker Kumar</t>
  </si>
  <si>
    <t>C062</t>
  </si>
  <si>
    <t>Harley Rahman</t>
  </si>
  <si>
    <t>C063</t>
  </si>
  <si>
    <t>Obi Zhang</t>
  </si>
  <si>
    <t>C064</t>
  </si>
  <si>
    <t>C065</t>
  </si>
  <si>
    <t>Leia Singh</t>
  </si>
  <si>
    <t>C066</t>
  </si>
  <si>
    <t>Rey Abdullah</t>
  </si>
  <si>
    <t>Unemployed</t>
  </si>
  <si>
    <t>C067</t>
  </si>
  <si>
    <t>Ben Scott</t>
  </si>
  <si>
    <t>C068</t>
  </si>
  <si>
    <t>Poe Abdallah</t>
  </si>
  <si>
    <t>C069</t>
  </si>
  <si>
    <t>Arya Chong</t>
  </si>
  <si>
    <t>C070</t>
  </si>
  <si>
    <t>Brienne Kumar</t>
  </si>
  <si>
    <t>C071</t>
  </si>
  <si>
    <t>Tyrion Amin</t>
  </si>
  <si>
    <t>C072</t>
  </si>
  <si>
    <t>Cersei Liu</t>
  </si>
  <si>
    <t>C073</t>
  </si>
  <si>
    <t>Sansa Petros</t>
  </si>
  <si>
    <t>C074</t>
  </si>
  <si>
    <t>Jon Magnus</t>
  </si>
  <si>
    <t>C075</t>
  </si>
  <si>
    <t>Daenerys Jones</t>
  </si>
  <si>
    <t>C076</t>
  </si>
  <si>
    <t>Jorah Larsen</t>
  </si>
  <si>
    <t>C077</t>
  </si>
  <si>
    <t>Samwell Rahman</t>
  </si>
  <si>
    <t>C078</t>
  </si>
  <si>
    <t>Melisandre Santos</t>
  </si>
  <si>
    <t>C079</t>
  </si>
  <si>
    <t>Ramsay Scott</t>
  </si>
  <si>
    <t>C080</t>
  </si>
  <si>
    <t>Gendry Sato</t>
  </si>
  <si>
    <t>C081</t>
  </si>
  <si>
    <t>Missandei Ivanov</t>
  </si>
  <si>
    <t>C082</t>
  </si>
  <si>
    <t>Davos Okafor</t>
  </si>
  <si>
    <t>C083</t>
  </si>
  <si>
    <t>Zuko Garcia</t>
  </si>
  <si>
    <t>ES</t>
  </si>
  <si>
    <t>C084</t>
  </si>
  <si>
    <t>Katara Petros</t>
  </si>
  <si>
    <t>C085</t>
  </si>
  <si>
    <t>Sokka Mendes</t>
  </si>
  <si>
    <t>C086</t>
  </si>
  <si>
    <t>Toph Abdullah</t>
  </si>
  <si>
    <t>C087</t>
  </si>
  <si>
    <t>Aang Suyin</t>
  </si>
  <si>
    <t>C088</t>
  </si>
  <si>
    <t>Appa Hasan</t>
  </si>
  <si>
    <t>C089</t>
  </si>
  <si>
    <t>Iroh Ali</t>
  </si>
  <si>
    <t>C090</t>
  </si>
  <si>
    <t>Azula Omori</t>
  </si>
  <si>
    <t>C091</t>
  </si>
  <si>
    <t>Mai Tan</t>
  </si>
  <si>
    <t>C092</t>
  </si>
  <si>
    <t>TyLee Santos</t>
  </si>
  <si>
    <t>C093</t>
  </si>
  <si>
    <t>Ozai Ruiz</t>
  </si>
  <si>
    <t>MX</t>
  </si>
  <si>
    <t>C094</t>
  </si>
  <si>
    <t>Korra Magnus</t>
  </si>
  <si>
    <t>C095</t>
  </si>
  <si>
    <t>Mako Magnus</t>
  </si>
  <si>
    <t>C096</t>
  </si>
  <si>
    <t>Bolin Santos</t>
  </si>
  <si>
    <t>C097</t>
  </si>
  <si>
    <t>Asami Petros</t>
  </si>
  <si>
    <t>C098</t>
  </si>
  <si>
    <t>Tenzin Kim</t>
  </si>
  <si>
    <t>C099</t>
  </si>
  <si>
    <t>Lin Hasan</t>
  </si>
  <si>
    <t>C100</t>
  </si>
  <si>
    <t>Suyin Garcia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</si>
  <si>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</si>
  <si>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</si>
  <si>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</si>
  <si>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</si>
  <si>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</si>
  <si>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</si>
  <si>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</si>
  <si>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</si>
  <si>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</si>
  <si>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</si>
  <si>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</si>
  <si>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</si>
  <si>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</si>
  <si>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</si>
  <si>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</si>
  <si>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</si>
  <si>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</si>
  <si>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</si>
  <si>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</si>
  <si>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</si>
  <si>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</si>
  <si>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</si>
  <si>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</si>
  <si>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</si>
  <si>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AUD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</si>
  <si>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</si>
  <si>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</si>
  <si>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</si>
  <si>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</si>
  <si>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</si>
  <si>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</si>
  <si>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</si>
  <si>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</si>
  <si>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</si>
  <si>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</si>
  <si>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</si>
  <si>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</si>
  <si>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</si>
  <si>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</si>
  <si>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</si>
  <si>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</si>
  <si>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</si>
  <si>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</si>
  <si>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</si>
  <si>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</si>
  <si>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</si>
  <si>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INR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</si>
  <si>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</si>
  <si>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</si>
  <si>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</si>
  <si>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</si>
  <si>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</si>
  <si>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</si>
  <si>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</si>
  <si>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</si>
  <si>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</si>
  <si>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</si>
  <si>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</si>
  <si>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</si>
  <si>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</si>
  <si>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</si>
  <si>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</si>
  <si>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</si>
  <si>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</si>
  <si>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</si>
  <si>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</si>
  <si>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</si>
  <si>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</si>
  <si>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</si>
  <si>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</si>
  <si>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</si>
  <si>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</si>
  <si>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</si>
  <si>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</si>
  <si>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</si>
  <si>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</si>
  <si>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</si>
  <si>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</si>
  <si>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</si>
  <si>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</si>
  <si>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</si>
  <si>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</si>
  <si>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Sanctions Check</t>
  </si>
  <si>
    <t>Row Labels</t>
  </si>
  <si>
    <t>Grand Total</t>
  </si>
  <si>
    <t>Sum of Amount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</si>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</sst>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Palatino Linotype"/>
      <family val="1"/>
    </font>
    <font>
      <sz val="11"/>
      <color theme="1"/>
      <name val="Palatino Linotype"/>
      <family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14" fontId="2" fillId="0" borderId="0" xfId="0" applyNumberFormat="1" applyFon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3" borderId="0" xfId="0" applyFont="1" applyFill="1"/>
    <xf numFmtId="0" fontId="1" fillId="4" borderId="0" xfId="0" applyFont="1" applyFill="1"/>
    <xf numFmtId="0" fontId="0" fillId="0" borderId="0" xfId="0" applyNumberFormat="1"/>
  </cellXfs>
  <cellStyles count="1">
    <cellStyle name="Normal" xfId="0" builtinId="0"/>
  </cellStyles>
  <dxfs count="5"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Monk" refreshedDate="46029.718422916667" createdVersion="8" refreshedVersion="8" minRefreshableVersion="3" recordCount="112" xr:uid="{EF91FE57-0100-4F42-8788-6A8459D1CCD4}">
  <cacheSource type="worksheet">
    <worksheetSource ref="A1:G1048576" sheet="Transactions"/>
  </cacheSource>
  <cacheFields count="7">
    <cacheField name="TransactionID" numFmtId="0">
      <sharedItems containsBlank="1"/>
    </cacheField>
    <cacheField name="Date" numFmtId="14">
      <sharedItems containsNonDate="0" containsDate="1" containsString="0" containsBlank="1" minDate="2024-02-06T00:00:00" maxDate="2024-09-04T00:00:00"/>
    </cacheField>
    <cacheField name="Amount" numFmtId="0">
      <sharedItems containsString="0" containsBlank="1" containsNumber="1" minValue="2174.54" maxValue="49929.77"/>
    </cacheField>
    <cacheField name="Currency" numFmtId="0">
      <sharedItems containsBlank="1"/>
    </cacheField>
    <cacheField name="Country" numFmtId="0">
      <sharedItems containsBlank="1" count="31">
        <s v="ZA"/>
        <s v="PK"/>
        <s v="AU"/>
        <s v="UK"/>
        <s v="SG"/>
        <s v="BR"/>
        <s v="KR"/>
        <s v="IR"/>
        <s v="SE"/>
        <s v="HU"/>
        <s v="NG"/>
        <s v="CA"/>
        <s v="RU"/>
        <s v="GR"/>
        <s v="FR"/>
        <s v="TR"/>
        <s v="MY"/>
        <s v="SA"/>
        <s v="JP"/>
        <s v="DK"/>
        <s v="AE"/>
        <s v="EG"/>
        <s v="US"/>
        <s v="MM"/>
        <s v="VN"/>
        <s v="IN"/>
        <s v="BD"/>
        <s v="CN"/>
        <s v="ES"/>
        <s v="MX"/>
        <m/>
      </sharedItems>
    </cacheField>
    <cacheField name="Channel" numFmtId="0">
      <sharedItems containsBlank="1"/>
    </cacheField>
    <cacheField name="CustomerID" numFmtId="0">
      <sharedItems containsBlank="1" count="101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  <s v="C051"/>
        <s v="C052"/>
        <s v="C053"/>
        <s v="C054"/>
        <s v="C055"/>
        <s v="C056"/>
        <s v="C057"/>
        <s v="C058"/>
        <s v="C059"/>
        <s v="C060"/>
        <s v="C061"/>
        <s v="C062"/>
        <s v="C063"/>
        <s v="C064"/>
        <s v="C065"/>
        <s v="C066"/>
        <s v="C067"/>
        <s v="C068"/>
        <s v="C069"/>
        <s v="C070"/>
        <s v="C071"/>
        <s v="C072"/>
        <s v="C073"/>
        <s v="C074"/>
        <s v="C075"/>
        <s v="C076"/>
        <s v="C077"/>
        <s v="C078"/>
        <s v="C079"/>
        <s v="C080"/>
        <s v="C081"/>
        <s v="C082"/>
        <s v="C083"/>
        <s v="C084"/>
        <s v="C085"/>
        <s v="C086"/>
        <s v="C087"/>
        <s v="C088"/>
        <s v="C089"/>
        <s v="C090"/>
        <s v="C091"/>
        <s v="C092"/>
        <s v="C093"/>
        <s v="C094"/>
        <s v="C095"/>
        <s v="C096"/>
        <s v="C097"/>
        <s v="C098"/>
        <s v="C099"/>
        <s v="C1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s v="T001"/>
    <d v="2024-06-28T00:00:00"/>
    <n v="46069.27"/>
    <s v="EUR"/>
    <x v="0"/>
    <s v="Crypto"/>
    <x v="0"/>
  </r>
  <r>
    <s v="T002"/>
    <d v="2024-02-11T00:00:00"/>
    <n v="16000.9"/>
    <s v="USD"/>
    <x v="1"/>
    <s v="ACH"/>
    <x v="1"/>
  </r>
  <r>
    <s v="T003"/>
    <d v="2024-08-09T00:00:00"/>
    <n v="14229.43"/>
    <s v="EUR"/>
    <x v="2"/>
    <s v="Wallet"/>
    <x v="2"/>
  </r>
  <r>
    <s v="T004"/>
    <d v="2024-07-23T00:00:00"/>
    <n v="34119.43"/>
    <s v="USD"/>
    <x v="3"/>
    <s v="Wallet"/>
    <x v="3"/>
  </r>
  <r>
    <s v="T005"/>
    <d v="2024-05-10T00:00:00"/>
    <n v="46676.77"/>
    <s v="USD"/>
    <x v="4"/>
    <s v="Wallet"/>
    <x v="4"/>
  </r>
  <r>
    <s v="T006"/>
    <d v="2024-07-21T00:00:00"/>
    <n v="19611.7"/>
    <s v="USD"/>
    <x v="5"/>
    <s v="ACH"/>
    <x v="5"/>
  </r>
  <r>
    <s v="T007"/>
    <d v="2024-07-07T00:00:00"/>
    <n v="11916.76"/>
    <s v="EUR"/>
    <x v="3"/>
    <s v="Card"/>
    <x v="6"/>
  </r>
  <r>
    <s v="T008"/>
    <d v="2024-05-19T00:00:00"/>
    <n v="7055.86"/>
    <s v="USD"/>
    <x v="6"/>
    <s v="Card"/>
    <x v="7"/>
  </r>
  <r>
    <s v="T009"/>
    <d v="2024-02-23T00:00:00"/>
    <n v="17703.580000000002"/>
    <s v="EUR"/>
    <x v="7"/>
    <s v="ACH"/>
    <x v="8"/>
  </r>
  <r>
    <s v="T010"/>
    <d v="2024-05-24T00:00:00"/>
    <n v="14860.19"/>
    <s v="GBP"/>
    <x v="6"/>
    <s v="ACH"/>
    <x v="9"/>
  </r>
  <r>
    <s v="T011"/>
    <d v="2024-07-12T00:00:00"/>
    <n v="9407.84"/>
    <s v="USD"/>
    <x v="4"/>
    <s v="Wire"/>
    <x v="10"/>
  </r>
  <r>
    <s v="T012"/>
    <d v="2024-03-22T00:00:00"/>
    <n v="2772.64"/>
    <s v="USD"/>
    <x v="8"/>
    <s v="Card"/>
    <x v="11"/>
  </r>
  <r>
    <s v="T013"/>
    <d v="2024-02-08T00:00:00"/>
    <n v="3643"/>
    <s v="USD"/>
    <x v="9"/>
    <s v="Crypto"/>
    <x v="12"/>
  </r>
  <r>
    <s v="T014"/>
    <d v="2024-08-18T00:00:00"/>
    <n v="16629.53"/>
    <s v="GBP"/>
    <x v="10"/>
    <s v="ACH"/>
    <x v="13"/>
  </r>
  <r>
    <s v="T015"/>
    <d v="2024-07-20T00:00:00"/>
    <n v="6812.79"/>
    <s v="USD"/>
    <x v="11"/>
    <s v="Crypto"/>
    <x v="14"/>
  </r>
  <r>
    <s v="T016"/>
    <d v="2024-09-02T00:00:00"/>
    <n v="23418.86"/>
    <s v="EUR"/>
    <x v="6"/>
    <s v="ACH"/>
    <x v="15"/>
  </r>
  <r>
    <s v="T017"/>
    <d v="2024-07-19T00:00:00"/>
    <n v="6643.5"/>
    <s v="EUR"/>
    <x v="12"/>
    <s v="Wallet"/>
    <x v="16"/>
  </r>
  <r>
    <s v="T018"/>
    <d v="2024-09-01T00:00:00"/>
    <n v="2174.54"/>
    <s v="USD"/>
    <x v="13"/>
    <s v="Wire"/>
    <x v="17"/>
  </r>
  <r>
    <s v="T019"/>
    <d v="2024-05-11T00:00:00"/>
    <n v="7693.02"/>
    <s v="GBP"/>
    <x v="14"/>
    <s v="ACH"/>
    <x v="18"/>
  </r>
  <r>
    <s v="T020"/>
    <d v="2024-07-17T00:00:00"/>
    <n v="17119.240000000002"/>
    <s v="USD"/>
    <x v="15"/>
    <s v="Crypto"/>
    <x v="19"/>
  </r>
  <r>
    <s v="T021"/>
    <d v="2024-07-01T00:00:00"/>
    <n v="13029.8"/>
    <s v="GBP"/>
    <x v="8"/>
    <s v="Card"/>
    <x v="20"/>
  </r>
  <r>
    <s v="T022"/>
    <d v="2024-06-20T00:00:00"/>
    <n v="26797.66"/>
    <s v="GBP"/>
    <x v="16"/>
    <s v="Wallet"/>
    <x v="21"/>
  </r>
  <r>
    <s v="T023"/>
    <d v="2024-07-19T00:00:00"/>
    <n v="24033.78"/>
    <s v="EUR"/>
    <x v="17"/>
    <s v="Crypto"/>
    <x v="22"/>
  </r>
  <r>
    <s v="T024"/>
    <d v="2024-05-30T00:00:00"/>
    <n v="3550.06"/>
    <s v="USD"/>
    <x v="18"/>
    <s v="Crypto"/>
    <x v="23"/>
  </r>
  <r>
    <s v="T025"/>
    <d v="2024-02-11T00:00:00"/>
    <n v="22560.53"/>
    <s v="USD"/>
    <x v="18"/>
    <s v="Wallet"/>
    <x v="24"/>
  </r>
  <r>
    <s v="T026"/>
    <d v="2024-03-18T00:00:00"/>
    <n v="32400.05"/>
    <s v="USD"/>
    <x v="5"/>
    <s v="Wallet"/>
    <x v="25"/>
  </r>
  <r>
    <s v="T027"/>
    <d v="2024-06-05T00:00:00"/>
    <n v="6922.44"/>
    <s v="EUR"/>
    <x v="19"/>
    <s v="Card"/>
    <x v="26"/>
  </r>
  <r>
    <s v="T028"/>
    <d v="2024-05-26T00:00:00"/>
    <n v="9175.06"/>
    <s v="USD"/>
    <x v="9"/>
    <s v="Card"/>
    <x v="27"/>
  </r>
  <r>
    <s v="T029"/>
    <d v="2024-04-23T00:00:00"/>
    <n v="5882.2"/>
    <s v="GBP"/>
    <x v="11"/>
    <s v="ACH"/>
    <x v="28"/>
  </r>
  <r>
    <s v="T030"/>
    <d v="2024-04-13T00:00:00"/>
    <n v="18621.45"/>
    <s v="EUR"/>
    <x v="20"/>
    <s v="Wallet"/>
    <x v="29"/>
  </r>
  <r>
    <s v="T031"/>
    <d v="2024-04-13T00:00:00"/>
    <n v="40935.29"/>
    <s v="EUR"/>
    <x v="9"/>
    <s v="Crypto"/>
    <x v="30"/>
  </r>
  <r>
    <s v="T032"/>
    <d v="2024-03-07T00:00:00"/>
    <n v="3552.38"/>
    <s v="GBP"/>
    <x v="5"/>
    <s v="Wire"/>
    <x v="31"/>
  </r>
  <r>
    <s v="T033"/>
    <d v="2024-02-06T00:00:00"/>
    <n v="36152.68"/>
    <s v="USD"/>
    <x v="21"/>
    <s v="ACH"/>
    <x v="32"/>
  </r>
  <r>
    <s v="T034"/>
    <d v="2024-07-27T00:00:00"/>
    <n v="38151.24"/>
    <s v="USD"/>
    <x v="22"/>
    <s v="ACH"/>
    <x v="33"/>
  </r>
  <r>
    <s v="T035"/>
    <d v="2024-07-08T00:00:00"/>
    <n v="6218.8"/>
    <s v="GBP"/>
    <x v="6"/>
    <s v="Wallet"/>
    <x v="34"/>
  </r>
  <r>
    <s v="T036"/>
    <d v="2024-06-15T00:00:00"/>
    <n v="26230.3"/>
    <s v="GBP"/>
    <x v="14"/>
    <s v="Wire"/>
    <x v="35"/>
  </r>
  <r>
    <s v="T037"/>
    <d v="2024-05-28T00:00:00"/>
    <n v="21509.79"/>
    <s v="SA"/>
    <x v="17"/>
    <s v="Card"/>
    <x v="36"/>
  </r>
  <r>
    <s v="T038"/>
    <d v="2024-05-23T00:00:00"/>
    <n v="8895.36"/>
    <s v="EUR"/>
    <x v="13"/>
    <s v="ACH"/>
    <x v="37"/>
  </r>
  <r>
    <s v="T039"/>
    <d v="2024-03-31T00:00:00"/>
    <n v="9501.41"/>
    <s v="BR"/>
    <x v="5"/>
    <s v="Crypto"/>
    <x v="38"/>
  </r>
  <r>
    <s v="T040"/>
    <d v="2024-04-28T00:00:00"/>
    <n v="7276.73"/>
    <s v="GBP"/>
    <x v="19"/>
    <s v="Wire"/>
    <x v="39"/>
  </r>
  <r>
    <s v="T041"/>
    <d v="2024-05-30T00:00:00"/>
    <n v="35186.639999999999"/>
    <s v="USD"/>
    <x v="8"/>
    <s v="ACH"/>
    <x v="40"/>
  </r>
  <r>
    <s v="T042"/>
    <d v="2024-03-11T00:00:00"/>
    <n v="20977.63"/>
    <s v="USD"/>
    <x v="5"/>
    <s v="Wire"/>
    <x v="41"/>
  </r>
  <r>
    <s v="T043"/>
    <d v="2024-06-09T00:00:00"/>
    <n v="40557.15"/>
    <s v="USD"/>
    <x v="6"/>
    <s v="Wallet"/>
    <x v="42"/>
  </r>
  <r>
    <s v="T044"/>
    <d v="2024-04-02T00:00:00"/>
    <n v="49929.77"/>
    <s v="AUD"/>
    <x v="2"/>
    <s v="ACH"/>
    <x v="43"/>
  </r>
  <r>
    <s v="T045"/>
    <d v="2024-03-28T00:00:00"/>
    <n v="13352.19"/>
    <s v="GBP"/>
    <x v="10"/>
    <s v="Card"/>
    <x v="44"/>
  </r>
  <r>
    <s v="T046"/>
    <d v="2024-02-14T00:00:00"/>
    <n v="49155.11"/>
    <s v="USD"/>
    <x v="7"/>
    <s v="ACH"/>
    <x v="45"/>
  </r>
  <r>
    <s v="T047"/>
    <d v="2024-09-01T00:00:00"/>
    <n v="15463.62"/>
    <s v="EUR"/>
    <x v="20"/>
    <s v="Crypto"/>
    <x v="46"/>
  </r>
  <r>
    <s v="T048"/>
    <d v="2024-07-08T00:00:00"/>
    <n v="15539.21"/>
    <s v="USD"/>
    <x v="14"/>
    <s v="Crypto"/>
    <x v="47"/>
  </r>
  <r>
    <s v="T049"/>
    <d v="2024-06-26T00:00:00"/>
    <n v="40390.07"/>
    <s v="GBP"/>
    <x v="6"/>
    <s v="ACH"/>
    <x v="48"/>
  </r>
  <r>
    <s v="T050"/>
    <d v="2024-06-22T00:00:00"/>
    <n v="9751.7800000000007"/>
    <s v="USD"/>
    <x v="5"/>
    <s v="Wire"/>
    <x v="49"/>
  </r>
  <r>
    <s v="T051"/>
    <d v="2024-03-20T00:00:00"/>
    <n v="7765.39"/>
    <s v="GBP"/>
    <x v="18"/>
    <s v="ACH"/>
    <x v="50"/>
  </r>
  <r>
    <s v="T052"/>
    <d v="2024-08-04T00:00:00"/>
    <n v="8496.4"/>
    <s v="USD"/>
    <x v="23"/>
    <s v="Wallet"/>
    <x v="51"/>
  </r>
  <r>
    <s v="T053"/>
    <d v="2024-08-14T00:00:00"/>
    <n v="10453.01"/>
    <s v="USD"/>
    <x v="8"/>
    <s v="Wallet"/>
    <x v="52"/>
  </r>
  <r>
    <s v="T054"/>
    <d v="2024-03-23T00:00:00"/>
    <n v="6885.22"/>
    <s v="EUR"/>
    <x v="15"/>
    <s v="Crypto"/>
    <x v="53"/>
  </r>
  <r>
    <s v="T055"/>
    <d v="2024-06-12T00:00:00"/>
    <n v="24609.56"/>
    <s v="USD"/>
    <x v="9"/>
    <s v="Card"/>
    <x v="54"/>
  </r>
  <r>
    <s v="T056"/>
    <d v="2024-03-24T00:00:00"/>
    <n v="23203.63"/>
    <s v="EUR"/>
    <x v="13"/>
    <s v="Wallet"/>
    <x v="55"/>
  </r>
  <r>
    <s v="T057"/>
    <d v="2024-08-10T00:00:00"/>
    <n v="14483.98"/>
    <s v="USD"/>
    <x v="20"/>
    <s v="Crypto"/>
    <x v="56"/>
  </r>
  <r>
    <s v="T058"/>
    <d v="2024-03-03T00:00:00"/>
    <n v="49230.52"/>
    <s v="GBP"/>
    <x v="9"/>
    <s v="Wire"/>
    <x v="57"/>
  </r>
  <r>
    <s v="T059"/>
    <d v="2024-08-11T00:00:00"/>
    <n v="41311.46"/>
    <s v="USD"/>
    <x v="24"/>
    <s v="Wire"/>
    <x v="58"/>
  </r>
  <r>
    <s v="T060"/>
    <d v="2024-04-10T00:00:00"/>
    <n v="7085.15"/>
    <s v="GBP"/>
    <x v="10"/>
    <s v="Wallet"/>
    <x v="59"/>
  </r>
  <r>
    <s v="T061"/>
    <d v="2024-02-22T00:00:00"/>
    <n v="31327.54"/>
    <s v="USD"/>
    <x v="25"/>
    <s v="Card"/>
    <x v="60"/>
  </r>
  <r>
    <s v="T062"/>
    <d v="2024-06-29T00:00:00"/>
    <n v="6382.18"/>
    <s v="EUR"/>
    <x v="26"/>
    <s v="Card"/>
    <x v="61"/>
  </r>
  <r>
    <s v="T063"/>
    <d v="2024-03-16T00:00:00"/>
    <n v="3903.89"/>
    <s v="CN"/>
    <x v="27"/>
    <s v="ACH"/>
    <x v="62"/>
  </r>
  <r>
    <s v="T064"/>
    <d v="2024-02-16T00:00:00"/>
    <n v="29568.55"/>
    <s v="USD"/>
    <x v="6"/>
    <s v="Wallet"/>
    <x v="63"/>
  </r>
  <r>
    <s v="T065"/>
    <d v="2024-07-24T00:00:00"/>
    <n v="27747.46"/>
    <s v="INR"/>
    <x v="25"/>
    <s v="Crypto"/>
    <x v="64"/>
  </r>
  <r>
    <s v="T066"/>
    <d v="2024-07-15T00:00:00"/>
    <n v="8899.36"/>
    <s v="SA"/>
    <x v="17"/>
    <s v="Card"/>
    <x v="65"/>
  </r>
  <r>
    <s v="T067"/>
    <d v="2024-09-01T00:00:00"/>
    <n v="41280.769999999997"/>
    <s v="USD"/>
    <x v="11"/>
    <s v="Wallet"/>
    <x v="66"/>
  </r>
  <r>
    <s v="T068"/>
    <d v="2024-03-24T00:00:00"/>
    <n v="30431.87"/>
    <s v="SA"/>
    <x v="17"/>
    <s v="Crypto"/>
    <x v="67"/>
  </r>
  <r>
    <s v="T069"/>
    <d v="2024-07-27T00:00:00"/>
    <n v="2998.03"/>
    <s v="MY"/>
    <x v="16"/>
    <s v="Card"/>
    <x v="68"/>
  </r>
  <r>
    <s v="T070"/>
    <d v="2024-06-06T00:00:00"/>
    <n v="13445.41"/>
    <s v="INR"/>
    <x v="25"/>
    <s v="Wire"/>
    <x v="69"/>
  </r>
  <r>
    <s v="T071"/>
    <d v="2024-06-04T00:00:00"/>
    <n v="37281.14"/>
    <s v="AE"/>
    <x v="20"/>
    <s v="Card"/>
    <x v="70"/>
  </r>
  <r>
    <s v="T072"/>
    <d v="2024-09-03T00:00:00"/>
    <n v="8337.52"/>
    <s v="CN"/>
    <x v="27"/>
    <s v="Student"/>
    <x v="71"/>
  </r>
  <r>
    <s v="T073"/>
    <d v="2024-02-27T00:00:00"/>
    <n v="4766.2"/>
    <s v="GR"/>
    <x v="13"/>
    <s v="Wallet"/>
    <x v="72"/>
  </r>
  <r>
    <s v="T074"/>
    <d v="2024-08-10T00:00:00"/>
    <n v="5361.29"/>
    <s v="HU"/>
    <x v="9"/>
    <s v="Wire"/>
    <x v="73"/>
  </r>
  <r>
    <s v="T075"/>
    <d v="2024-04-09T00:00:00"/>
    <n v="28278.05"/>
    <s v="UK"/>
    <x v="3"/>
    <s v="Retail"/>
    <x v="74"/>
  </r>
  <r>
    <s v="T076"/>
    <d v="2024-08-16T00:00:00"/>
    <n v="9906.83"/>
    <s v="DK"/>
    <x v="19"/>
    <s v="Crypto"/>
    <x v="75"/>
  </r>
  <r>
    <s v="T077"/>
    <d v="2024-04-21T00:00:00"/>
    <n v="26766.27"/>
    <s v="BD"/>
    <x v="26"/>
    <s v="Card"/>
    <x v="76"/>
  </r>
  <r>
    <s v="T078"/>
    <d v="2024-03-04T00:00:00"/>
    <n v="42954.92"/>
    <s v="BR"/>
    <x v="5"/>
    <s v="ACH"/>
    <x v="77"/>
  </r>
  <r>
    <s v="T079"/>
    <d v="2024-03-23T00:00:00"/>
    <n v="3565.26"/>
    <s v="CA"/>
    <x v="11"/>
    <s v="ACH"/>
    <x v="78"/>
  </r>
  <r>
    <s v="T080"/>
    <d v="2024-05-22T00:00:00"/>
    <n v="3771.78"/>
    <s v="JP"/>
    <x v="18"/>
    <s v="Wire"/>
    <x v="79"/>
  </r>
  <r>
    <s v="T081"/>
    <d v="2024-06-21T00:00:00"/>
    <n v="9985.14"/>
    <s v="RU"/>
    <x v="12"/>
    <s v="Card"/>
    <x v="80"/>
  </r>
  <r>
    <s v="T082"/>
    <d v="2024-05-01T00:00:00"/>
    <n v="20626.7"/>
    <s v="NG"/>
    <x v="10"/>
    <s v="Wallet"/>
    <x v="81"/>
  </r>
  <r>
    <s v="T083"/>
    <d v="2024-03-10T00:00:00"/>
    <n v="34859.19"/>
    <s v="ES"/>
    <x v="28"/>
    <s v="ACH"/>
    <x v="82"/>
  </r>
  <r>
    <s v="T084"/>
    <d v="2024-02-14T00:00:00"/>
    <n v="37041.85"/>
    <s v="GR"/>
    <x v="13"/>
    <s v="Crypto"/>
    <x v="83"/>
  </r>
  <r>
    <s v="T085"/>
    <d v="2024-04-29T00:00:00"/>
    <n v="3724.08"/>
    <s v="BR"/>
    <x v="5"/>
    <s v="Card"/>
    <x v="84"/>
  </r>
  <r>
    <s v="T086"/>
    <d v="2024-08-30T00:00:00"/>
    <n v="11138.67"/>
    <s v="SA"/>
    <x v="17"/>
    <s v="Wallet"/>
    <x v="85"/>
  </r>
  <r>
    <s v="T087"/>
    <d v="2024-08-04T00:00:00"/>
    <n v="21147.59"/>
    <s v="CN"/>
    <x v="27"/>
    <s v="Card"/>
    <x v="86"/>
  </r>
  <r>
    <s v="T088"/>
    <d v="2024-07-18T00:00:00"/>
    <n v="19109.89"/>
    <s v="EG"/>
    <x v="21"/>
    <s v="ACH"/>
    <x v="87"/>
  </r>
  <r>
    <s v="T089"/>
    <d v="2024-02-21T00:00:00"/>
    <n v="40152.769999999997"/>
    <s v="IR"/>
    <x v="7"/>
    <s v="Crypto"/>
    <x v="88"/>
  </r>
  <r>
    <s v="T090"/>
    <d v="2024-08-18T00:00:00"/>
    <n v="33799.440000000002"/>
    <s v="JP"/>
    <x v="18"/>
    <s v="Card"/>
    <x v="89"/>
  </r>
  <r>
    <s v="T091"/>
    <d v="2024-07-29T00:00:00"/>
    <n v="46627.82"/>
    <s v="SG"/>
    <x v="4"/>
    <s v="ACH"/>
    <x v="90"/>
  </r>
  <r>
    <s v="T092"/>
    <d v="2024-05-28T00:00:00"/>
    <n v="10410.14"/>
    <s v="BR"/>
    <x v="5"/>
    <s v="Card"/>
    <x v="91"/>
  </r>
  <r>
    <s v="T093"/>
    <d v="2024-05-08T00:00:00"/>
    <n v="47291.31"/>
    <s v="MX"/>
    <x v="29"/>
    <s v="Wire"/>
    <x v="92"/>
  </r>
  <r>
    <s v="T094"/>
    <d v="2024-03-17T00:00:00"/>
    <n v="11224.99"/>
    <s v="HU"/>
    <x v="9"/>
    <s v="Wallet"/>
    <x v="93"/>
  </r>
  <r>
    <s v="T095"/>
    <d v="2024-05-04T00:00:00"/>
    <n v="9613.1299999999992"/>
    <s v="HU"/>
    <x v="9"/>
    <s v="Card"/>
    <x v="94"/>
  </r>
  <r>
    <s v="T096"/>
    <d v="2024-09-01T00:00:00"/>
    <n v="26890.63"/>
    <s v="BR"/>
    <x v="5"/>
    <s v="Wallet"/>
    <x v="95"/>
  </r>
  <r>
    <s v="T097"/>
    <d v="2024-03-25T00:00:00"/>
    <n v="18508.05"/>
    <s v="GR"/>
    <x v="13"/>
    <s v="Wire"/>
    <x v="96"/>
  </r>
  <r>
    <s v="T098"/>
    <d v="2024-03-05T00:00:00"/>
    <n v="39290.160000000003"/>
    <s v="KR"/>
    <x v="6"/>
    <s v="Crypto"/>
    <x v="97"/>
  </r>
  <r>
    <s v="T099"/>
    <d v="2024-08-21T00:00:00"/>
    <n v="26587.25"/>
    <s v="EG"/>
    <x v="21"/>
    <s v="Crypto"/>
    <x v="98"/>
  </r>
  <r>
    <s v="T100"/>
    <d v="2024-06-06T00:00:00"/>
    <n v="21132.49"/>
    <s v="ES"/>
    <x v="28"/>
    <s v="Card"/>
    <x v="99"/>
  </r>
  <r>
    <m/>
    <m/>
    <m/>
    <m/>
    <x v="30"/>
    <m/>
    <x v="100"/>
  </r>
  <r>
    <m/>
    <m/>
    <m/>
    <m/>
    <x v="30"/>
    <m/>
    <x v="100"/>
  </r>
  <r>
    <m/>
    <m/>
    <m/>
    <m/>
    <x v="30"/>
    <m/>
    <x v="100"/>
  </r>
  <r>
    <m/>
    <m/>
    <m/>
    <m/>
    <x v="30"/>
    <m/>
    <x v="100"/>
  </r>
  <r>
    <m/>
    <m/>
    <m/>
    <m/>
    <x v="30"/>
    <m/>
    <x v="100"/>
  </r>
  <r>
    <m/>
    <m/>
    <m/>
    <m/>
    <x v="30"/>
    <m/>
    <x v="100"/>
  </r>
  <r>
    <m/>
    <m/>
    <m/>
    <m/>
    <x v="30"/>
    <m/>
    <x v="100"/>
  </r>
  <r>
    <m/>
    <m/>
    <m/>
    <m/>
    <x v="30"/>
    <m/>
    <x v="100"/>
  </r>
  <r>
    <m/>
    <m/>
    <m/>
    <m/>
    <x v="30"/>
    <m/>
    <x v="100"/>
  </r>
  <r>
    <m/>
    <m/>
    <m/>
    <m/>
    <x v="30"/>
    <m/>
    <x v="100"/>
  </r>
  <r>
    <m/>
    <m/>
    <m/>
    <m/>
    <x v="30"/>
    <m/>
    <x v="100"/>
  </r>
  <r>
    <m/>
    <m/>
    <m/>
    <m/>
    <x v="30"/>
    <m/>
    <x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6A2C3C-453C-414F-937C-72182EA239DD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136" firstHeaderRow="1" firstDataRow="1" firstDataCol="1"/>
  <pivotFields count="7">
    <pivotField showAll="0"/>
    <pivotField showAll="0"/>
    <pivotField dataField="1" showAll="0"/>
    <pivotField showAll="0"/>
    <pivotField axis="axisRow" showAll="0">
      <items count="32">
        <item x="20"/>
        <item x="2"/>
        <item x="26"/>
        <item x="5"/>
        <item x="11"/>
        <item x="27"/>
        <item x="19"/>
        <item x="21"/>
        <item x="28"/>
        <item x="14"/>
        <item x="13"/>
        <item x="9"/>
        <item x="25"/>
        <item x="7"/>
        <item x="18"/>
        <item x="6"/>
        <item x="23"/>
        <item x="29"/>
        <item x="16"/>
        <item x="10"/>
        <item x="1"/>
        <item x="12"/>
        <item x="17"/>
        <item x="8"/>
        <item x="4"/>
        <item x="15"/>
        <item x="3"/>
        <item x="22"/>
        <item x="24"/>
        <item x="0"/>
        <item x="30"/>
        <item t="default"/>
      </items>
    </pivotField>
    <pivotField showAll="0"/>
    <pivotField axis="axisRow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</pivotFields>
  <rowFields count="2">
    <field x="4"/>
    <field x="6"/>
  </rowFields>
  <rowItems count="133">
    <i>
      <x/>
    </i>
    <i r="1">
      <x v="29"/>
    </i>
    <i r="1">
      <x v="46"/>
    </i>
    <i r="1">
      <x v="56"/>
    </i>
    <i r="1">
      <x v="70"/>
    </i>
    <i>
      <x v="1"/>
    </i>
    <i r="1">
      <x v="2"/>
    </i>
    <i r="1">
      <x v="43"/>
    </i>
    <i>
      <x v="2"/>
    </i>
    <i r="1">
      <x v="61"/>
    </i>
    <i r="1">
      <x v="76"/>
    </i>
    <i>
      <x v="3"/>
    </i>
    <i r="1">
      <x v="5"/>
    </i>
    <i r="1">
      <x v="25"/>
    </i>
    <i r="1">
      <x v="31"/>
    </i>
    <i r="1">
      <x v="38"/>
    </i>
    <i r="1">
      <x v="41"/>
    </i>
    <i r="1">
      <x v="49"/>
    </i>
    <i r="1">
      <x v="77"/>
    </i>
    <i r="1">
      <x v="84"/>
    </i>
    <i r="1">
      <x v="91"/>
    </i>
    <i r="1">
      <x v="95"/>
    </i>
    <i>
      <x v="4"/>
    </i>
    <i r="1">
      <x v="14"/>
    </i>
    <i r="1">
      <x v="28"/>
    </i>
    <i r="1">
      <x v="66"/>
    </i>
    <i r="1">
      <x v="78"/>
    </i>
    <i>
      <x v="5"/>
    </i>
    <i r="1">
      <x v="62"/>
    </i>
    <i r="1">
      <x v="71"/>
    </i>
    <i r="1">
      <x v="86"/>
    </i>
    <i>
      <x v="6"/>
    </i>
    <i r="1">
      <x v="26"/>
    </i>
    <i r="1">
      <x v="39"/>
    </i>
    <i r="1">
      <x v="75"/>
    </i>
    <i>
      <x v="7"/>
    </i>
    <i r="1">
      <x v="32"/>
    </i>
    <i r="1">
      <x v="87"/>
    </i>
    <i r="1">
      <x v="98"/>
    </i>
    <i>
      <x v="8"/>
    </i>
    <i r="1">
      <x v="82"/>
    </i>
    <i r="1">
      <x v="99"/>
    </i>
    <i>
      <x v="9"/>
    </i>
    <i r="1">
      <x v="18"/>
    </i>
    <i r="1">
      <x v="35"/>
    </i>
    <i r="1">
      <x v="47"/>
    </i>
    <i>
      <x v="10"/>
    </i>
    <i r="1">
      <x v="17"/>
    </i>
    <i r="1">
      <x v="37"/>
    </i>
    <i r="1">
      <x v="55"/>
    </i>
    <i r="1">
      <x v="72"/>
    </i>
    <i r="1">
      <x v="83"/>
    </i>
    <i r="1">
      <x v="96"/>
    </i>
    <i>
      <x v="11"/>
    </i>
    <i r="1">
      <x v="12"/>
    </i>
    <i r="1">
      <x v="27"/>
    </i>
    <i r="1">
      <x v="30"/>
    </i>
    <i r="1">
      <x v="54"/>
    </i>
    <i r="1">
      <x v="57"/>
    </i>
    <i r="1">
      <x v="73"/>
    </i>
    <i r="1">
      <x v="93"/>
    </i>
    <i r="1">
      <x v="94"/>
    </i>
    <i>
      <x v="12"/>
    </i>
    <i r="1">
      <x v="60"/>
    </i>
    <i r="1">
      <x v="64"/>
    </i>
    <i r="1">
      <x v="69"/>
    </i>
    <i>
      <x v="13"/>
    </i>
    <i r="1">
      <x v="8"/>
    </i>
    <i r="1">
      <x v="45"/>
    </i>
    <i r="1">
      <x v="88"/>
    </i>
    <i>
      <x v="14"/>
    </i>
    <i r="1">
      <x v="23"/>
    </i>
    <i r="1">
      <x v="24"/>
    </i>
    <i r="1">
      <x v="50"/>
    </i>
    <i r="1">
      <x v="79"/>
    </i>
    <i r="1">
      <x v="89"/>
    </i>
    <i>
      <x v="15"/>
    </i>
    <i r="1">
      <x v="7"/>
    </i>
    <i r="1">
      <x v="9"/>
    </i>
    <i r="1">
      <x v="15"/>
    </i>
    <i r="1">
      <x v="34"/>
    </i>
    <i r="1">
      <x v="42"/>
    </i>
    <i r="1">
      <x v="48"/>
    </i>
    <i r="1">
      <x v="63"/>
    </i>
    <i r="1">
      <x v="97"/>
    </i>
    <i>
      <x v="16"/>
    </i>
    <i r="1">
      <x v="51"/>
    </i>
    <i>
      <x v="17"/>
    </i>
    <i r="1">
      <x v="92"/>
    </i>
    <i>
      <x v="18"/>
    </i>
    <i r="1">
      <x v="21"/>
    </i>
    <i r="1">
      <x v="68"/>
    </i>
    <i>
      <x v="19"/>
    </i>
    <i r="1">
      <x v="13"/>
    </i>
    <i r="1">
      <x v="44"/>
    </i>
    <i r="1">
      <x v="59"/>
    </i>
    <i r="1">
      <x v="81"/>
    </i>
    <i>
      <x v="20"/>
    </i>
    <i r="1">
      <x v="1"/>
    </i>
    <i>
      <x v="21"/>
    </i>
    <i r="1">
      <x v="16"/>
    </i>
    <i r="1">
      <x v="80"/>
    </i>
    <i>
      <x v="22"/>
    </i>
    <i r="1">
      <x v="22"/>
    </i>
    <i r="1">
      <x v="36"/>
    </i>
    <i r="1">
      <x v="65"/>
    </i>
    <i r="1">
      <x v="67"/>
    </i>
    <i r="1">
      <x v="85"/>
    </i>
    <i>
      <x v="23"/>
    </i>
    <i r="1">
      <x v="11"/>
    </i>
    <i r="1">
      <x v="20"/>
    </i>
    <i r="1">
      <x v="40"/>
    </i>
    <i r="1">
      <x v="52"/>
    </i>
    <i>
      <x v="24"/>
    </i>
    <i r="1">
      <x v="4"/>
    </i>
    <i r="1">
      <x v="10"/>
    </i>
    <i r="1">
      <x v="90"/>
    </i>
    <i>
      <x v="25"/>
    </i>
    <i r="1">
      <x v="19"/>
    </i>
    <i r="1">
      <x v="53"/>
    </i>
    <i>
      <x v="26"/>
    </i>
    <i r="1">
      <x v="3"/>
    </i>
    <i r="1">
      <x v="6"/>
    </i>
    <i r="1">
      <x v="74"/>
    </i>
    <i>
      <x v="27"/>
    </i>
    <i r="1">
      <x v="33"/>
    </i>
    <i>
      <x v="28"/>
    </i>
    <i r="1">
      <x v="58"/>
    </i>
    <i>
      <x v="29"/>
    </i>
    <i r="1">
      <x/>
    </i>
    <i>
      <x v="30"/>
    </i>
    <i r="1">
      <x v="100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82F40-1660-4EB4-8FE0-5CC15BAC20F6}">
  <dimension ref="A1:N176"/>
  <sheetViews>
    <sheetView tabSelected="1" zoomScale="80" zoomScaleNormal="80" workbookViewId="0">
      <pane ySplit="1" topLeftCell="A105" activePane="bottomLeft" state="frozen"/>
      <selection pane="bottomLeft" activeCell="E53" sqref="E53"/>
    </sheetView>
  </sheetViews>
  <sheetFormatPr defaultRowHeight="16.5" x14ac:dyDescent="0.3"/>
  <cols>
    <col min="1" max="1" width="18.7109375" style="2" customWidth="1"/>
    <col min="2" max="2" width="11.5703125" style="5" bestFit="1" customWidth="1"/>
    <col min="3" max="3" width="9.5703125" style="2" bestFit="1" customWidth="1"/>
    <col min="4" max="4" width="11.7109375" style="2" customWidth="1"/>
    <col min="5" max="5" width="11.28515625" style="2" customWidth="1"/>
    <col min="6" max="6" width="11.85546875" style="2" customWidth="1"/>
    <col min="7" max="7" width="15.85546875" style="2" customWidth="1"/>
    <col min="8" max="9" width="9.140625" style="2"/>
    <col min="10" max="10" width="14.140625" style="2" bestFit="1" customWidth="1"/>
    <col min="11" max="11" width="14.85546875" style="2" bestFit="1" customWidth="1"/>
    <col min="12" max="12" width="13.42578125" style="2" bestFit="1" customWidth="1"/>
    <col min="13" max="13" width="14.85546875" style="2" bestFit="1" customWidth="1"/>
    <col min="14" max="16384" width="9.140625" style="2"/>
  </cols>
  <sheetData>
    <row r="1" spans="1:14" ht="1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ht="17.25" thickBot="1" x14ac:dyDescent="0.35">
      <c r="A2" s="3" t="s">
        <v>7</v>
      </c>
      <c r="B2" s="4">
        <v>45471</v>
      </c>
      <c r="C2" s="3">
        <v>46069.27</v>
      </c>
      <c r="D2" s="3" t="s">
        <v>28</v>
      </c>
      <c r="E2" s="3" t="s">
        <v>64</v>
      </c>
      <c r="F2" s="3" t="s">
        <v>39</v>
      </c>
      <c r="G2" s="3" t="s">
        <v>63</v>
      </c>
    </row>
    <row r="3" spans="1:14" ht="17.25" thickBot="1" x14ac:dyDescent="0.35">
      <c r="A3" s="3" t="s">
        <v>11</v>
      </c>
      <c r="B3" s="4">
        <v>45333</v>
      </c>
      <c r="C3" s="3">
        <v>16000.9</v>
      </c>
      <c r="D3" s="3" t="s">
        <v>8</v>
      </c>
      <c r="E3" s="3" t="s">
        <v>68</v>
      </c>
      <c r="F3" s="3" t="s">
        <v>17</v>
      </c>
      <c r="G3" s="3" t="s">
        <v>66</v>
      </c>
      <c r="J3" s="7" t="s">
        <v>409</v>
      </c>
      <c r="K3" t="s">
        <v>411</v>
      </c>
      <c r="L3"/>
      <c r="M3"/>
      <c r="N3"/>
    </row>
    <row r="4" spans="1:14" ht="17.25" thickBot="1" x14ac:dyDescent="0.35">
      <c r="A4" s="3" t="s">
        <v>12</v>
      </c>
      <c r="B4" s="4">
        <v>45513</v>
      </c>
      <c r="C4" s="3">
        <v>14229.43</v>
      </c>
      <c r="D4" s="3" t="s">
        <v>28</v>
      </c>
      <c r="E4" s="3" t="s">
        <v>72</v>
      </c>
      <c r="F4" s="3" t="s">
        <v>31</v>
      </c>
      <c r="G4" s="3" t="s">
        <v>70</v>
      </c>
      <c r="J4" s="8" t="s">
        <v>35</v>
      </c>
      <c r="K4" s="12">
        <v>85850.19</v>
      </c>
      <c r="L4"/>
      <c r="M4"/>
      <c r="N4"/>
    </row>
    <row r="5" spans="1:14" ht="17.25" thickBot="1" x14ac:dyDescent="0.35">
      <c r="A5" s="3" t="s">
        <v>14</v>
      </c>
      <c r="B5" s="4">
        <v>45496</v>
      </c>
      <c r="C5" s="3">
        <v>34119.43</v>
      </c>
      <c r="D5" s="3" t="s">
        <v>8</v>
      </c>
      <c r="E5" s="3" t="s">
        <v>76</v>
      </c>
      <c r="F5" s="3" t="s">
        <v>31</v>
      </c>
      <c r="G5" s="3" t="s">
        <v>74</v>
      </c>
      <c r="J5" s="9" t="s">
        <v>178</v>
      </c>
      <c r="K5" s="12">
        <v>18621.45</v>
      </c>
      <c r="L5"/>
      <c r="M5"/>
      <c r="N5"/>
    </row>
    <row r="6" spans="1:14" ht="17.25" thickBot="1" x14ac:dyDescent="0.35">
      <c r="A6" s="3" t="s">
        <v>15</v>
      </c>
      <c r="B6" s="4">
        <v>45422</v>
      </c>
      <c r="C6" s="3">
        <v>46676.77</v>
      </c>
      <c r="D6" s="3" t="s">
        <v>8</v>
      </c>
      <c r="E6" s="3" t="s">
        <v>80</v>
      </c>
      <c r="F6" s="3" t="s">
        <v>31</v>
      </c>
      <c r="G6" s="3" t="s">
        <v>78</v>
      </c>
      <c r="J6" s="9" t="s">
        <v>215</v>
      </c>
      <c r="K6" s="12">
        <v>15463.62</v>
      </c>
      <c r="L6"/>
      <c r="M6"/>
      <c r="N6"/>
    </row>
    <row r="7" spans="1:14" ht="17.25" thickBot="1" x14ac:dyDescent="0.35">
      <c r="A7" s="3" t="s">
        <v>18</v>
      </c>
      <c r="B7" s="4">
        <v>45494</v>
      </c>
      <c r="C7" s="3">
        <v>19611.7</v>
      </c>
      <c r="D7" s="3" t="s">
        <v>8</v>
      </c>
      <c r="E7" s="3" t="s">
        <v>30</v>
      </c>
      <c r="F7" s="3" t="s">
        <v>17</v>
      </c>
      <c r="G7" s="3" t="s">
        <v>82</v>
      </c>
      <c r="J7" s="9" t="s">
        <v>234</v>
      </c>
      <c r="K7" s="12">
        <v>14483.98</v>
      </c>
      <c r="L7"/>
      <c r="M7"/>
      <c r="N7"/>
    </row>
    <row r="8" spans="1:14" ht="17.25" thickBot="1" x14ac:dyDescent="0.35">
      <c r="A8" s="3" t="s">
        <v>20</v>
      </c>
      <c r="B8" s="4">
        <v>45480</v>
      </c>
      <c r="C8" s="3">
        <v>11916.76</v>
      </c>
      <c r="D8" s="3" t="s">
        <v>28</v>
      </c>
      <c r="E8" s="3" t="s">
        <v>76</v>
      </c>
      <c r="F8" s="3" t="s">
        <v>26</v>
      </c>
      <c r="G8" s="3" t="s">
        <v>84</v>
      </c>
      <c r="J8" s="9" t="s">
        <v>264</v>
      </c>
      <c r="K8" s="12">
        <v>37281.14</v>
      </c>
      <c r="L8"/>
      <c r="M8"/>
      <c r="N8"/>
    </row>
    <row r="9" spans="1:14" ht="17.25" thickBot="1" x14ac:dyDescent="0.35">
      <c r="A9" s="3" t="s">
        <v>21</v>
      </c>
      <c r="B9" s="4">
        <v>45431</v>
      </c>
      <c r="C9" s="3">
        <v>7055.86</v>
      </c>
      <c r="D9" s="3" t="s">
        <v>8</v>
      </c>
      <c r="E9" s="3" t="s">
        <v>88</v>
      </c>
      <c r="F9" s="3" t="s">
        <v>26</v>
      </c>
      <c r="G9" s="3" t="s">
        <v>86</v>
      </c>
      <c r="J9" s="8" t="s">
        <v>72</v>
      </c>
      <c r="K9" s="12">
        <v>64159.199999999997</v>
      </c>
      <c r="L9"/>
      <c r="M9"/>
      <c r="N9"/>
    </row>
    <row r="10" spans="1:14" ht="17.25" thickBot="1" x14ac:dyDescent="0.35">
      <c r="A10" s="3" t="s">
        <v>23</v>
      </c>
      <c r="B10" s="4">
        <v>45345</v>
      </c>
      <c r="C10" s="3">
        <v>17703.580000000002</v>
      </c>
      <c r="D10" s="3" t="s">
        <v>28</v>
      </c>
      <c r="E10" s="3" t="s">
        <v>22</v>
      </c>
      <c r="F10" s="3" t="s">
        <v>17</v>
      </c>
      <c r="G10" s="3" t="s">
        <v>90</v>
      </c>
      <c r="J10" s="9" t="s">
        <v>70</v>
      </c>
      <c r="K10" s="12">
        <v>14229.43</v>
      </c>
      <c r="L10"/>
      <c r="M10"/>
      <c r="N10"/>
    </row>
    <row r="11" spans="1:14" ht="17.25" thickBot="1" x14ac:dyDescent="0.35">
      <c r="A11" s="3" t="s">
        <v>24</v>
      </c>
      <c r="B11" s="4">
        <v>45436</v>
      </c>
      <c r="C11" s="3">
        <v>14860.19</v>
      </c>
      <c r="D11" s="3" t="s">
        <v>37</v>
      </c>
      <c r="E11" s="3" t="s">
        <v>88</v>
      </c>
      <c r="F11" s="3" t="s">
        <v>17</v>
      </c>
      <c r="G11" s="3" t="s">
        <v>92</v>
      </c>
      <c r="J11" s="9" t="s">
        <v>208</v>
      </c>
      <c r="K11" s="12">
        <v>49929.77</v>
      </c>
      <c r="L11"/>
      <c r="M11"/>
      <c r="N11"/>
    </row>
    <row r="12" spans="1:14" ht="17.25" thickBot="1" x14ac:dyDescent="0.35">
      <c r="A12" s="3" t="s">
        <v>27</v>
      </c>
      <c r="B12" s="4">
        <v>45485</v>
      </c>
      <c r="C12" s="3">
        <v>9407.84</v>
      </c>
      <c r="D12" s="3" t="s">
        <v>8</v>
      </c>
      <c r="E12" s="3" t="s">
        <v>80</v>
      </c>
      <c r="F12" s="3" t="s">
        <v>10</v>
      </c>
      <c r="G12" s="3" t="s">
        <v>94</v>
      </c>
      <c r="J12" s="8" t="s">
        <v>153</v>
      </c>
      <c r="K12" s="12">
        <v>33148.449999999997</v>
      </c>
      <c r="L12"/>
      <c r="M12"/>
      <c r="N12"/>
    </row>
    <row r="13" spans="1:14" ht="17.25" thickBot="1" x14ac:dyDescent="0.35">
      <c r="A13" s="3" t="s">
        <v>29</v>
      </c>
      <c r="B13" s="4">
        <v>45373</v>
      </c>
      <c r="C13" s="3">
        <v>2772.64</v>
      </c>
      <c r="D13" s="3" t="s">
        <v>8</v>
      </c>
      <c r="E13" s="3" t="s">
        <v>98</v>
      </c>
      <c r="F13" s="3" t="s">
        <v>26</v>
      </c>
      <c r="G13" s="3" t="s">
        <v>96</v>
      </c>
      <c r="J13" s="9" t="s">
        <v>246</v>
      </c>
      <c r="K13" s="12">
        <v>6382.18</v>
      </c>
      <c r="L13"/>
      <c r="M13"/>
      <c r="N13"/>
    </row>
    <row r="14" spans="1:14" ht="17.25" thickBot="1" x14ac:dyDescent="0.35">
      <c r="A14" s="3" t="s">
        <v>32</v>
      </c>
      <c r="B14" s="4">
        <v>45330</v>
      </c>
      <c r="C14" s="3">
        <v>3643</v>
      </c>
      <c r="D14" s="3" t="s">
        <v>8</v>
      </c>
      <c r="E14" s="3" t="s">
        <v>102</v>
      </c>
      <c r="F14" s="3" t="s">
        <v>39</v>
      </c>
      <c r="G14" s="3" t="s">
        <v>100</v>
      </c>
      <c r="J14" s="9" t="s">
        <v>276</v>
      </c>
      <c r="K14" s="12">
        <v>26766.27</v>
      </c>
      <c r="L14"/>
      <c r="M14"/>
      <c r="N14"/>
    </row>
    <row r="15" spans="1:14" ht="17.25" thickBot="1" x14ac:dyDescent="0.35">
      <c r="A15" s="3" t="s">
        <v>33</v>
      </c>
      <c r="B15" s="4">
        <v>45522</v>
      </c>
      <c r="C15" s="3">
        <v>16629.53</v>
      </c>
      <c r="D15" s="3" t="s">
        <v>37</v>
      </c>
      <c r="E15" s="3" t="s">
        <v>43</v>
      </c>
      <c r="F15" s="3" t="s">
        <v>17</v>
      </c>
      <c r="G15" s="3" t="s">
        <v>103</v>
      </c>
      <c r="J15" s="8" t="s">
        <v>30</v>
      </c>
      <c r="K15" s="12">
        <v>179774.71999999997</v>
      </c>
      <c r="L15"/>
      <c r="M15"/>
      <c r="N15"/>
    </row>
    <row r="16" spans="1:14" ht="17.25" thickBot="1" x14ac:dyDescent="0.35">
      <c r="A16" s="3" t="s">
        <v>34</v>
      </c>
      <c r="B16" s="4">
        <v>45493</v>
      </c>
      <c r="C16" s="3">
        <v>6812.79</v>
      </c>
      <c r="D16" s="3" t="s">
        <v>8</v>
      </c>
      <c r="E16" s="3" t="s">
        <v>107</v>
      </c>
      <c r="F16" s="3" t="s">
        <v>39</v>
      </c>
      <c r="G16" s="3" t="s">
        <v>105</v>
      </c>
      <c r="J16" s="9" t="s">
        <v>82</v>
      </c>
      <c r="K16" s="12">
        <v>19611.7</v>
      </c>
      <c r="L16"/>
      <c r="M16"/>
      <c r="N16"/>
    </row>
    <row r="17" spans="1:14" ht="17.25" thickBot="1" x14ac:dyDescent="0.35">
      <c r="A17" s="3" t="s">
        <v>36</v>
      </c>
      <c r="B17" s="4">
        <v>45537</v>
      </c>
      <c r="C17" s="3">
        <v>23418.86</v>
      </c>
      <c r="D17" s="3" t="s">
        <v>28</v>
      </c>
      <c r="E17" s="3" t="s">
        <v>88</v>
      </c>
      <c r="F17" s="3" t="s">
        <v>17</v>
      </c>
      <c r="G17" s="3" t="s">
        <v>109</v>
      </c>
      <c r="J17" s="9" t="s">
        <v>169</v>
      </c>
      <c r="K17" s="12">
        <v>32400.05</v>
      </c>
      <c r="L17"/>
      <c r="M17"/>
      <c r="N17"/>
    </row>
    <row r="18" spans="1:14" ht="17.25" thickBot="1" x14ac:dyDescent="0.35">
      <c r="A18" s="3" t="s">
        <v>38</v>
      </c>
      <c r="B18" s="4">
        <v>45492</v>
      </c>
      <c r="C18" s="3">
        <v>6643.5</v>
      </c>
      <c r="D18" s="3" t="s">
        <v>28</v>
      </c>
      <c r="E18" s="3" t="s">
        <v>13</v>
      </c>
      <c r="F18" s="3" t="s">
        <v>31</v>
      </c>
      <c r="G18" s="3" t="s">
        <v>112</v>
      </c>
      <c r="J18" s="9" t="s">
        <v>182</v>
      </c>
      <c r="K18" s="12">
        <v>3552.38</v>
      </c>
      <c r="L18"/>
      <c r="M18"/>
      <c r="N18"/>
    </row>
    <row r="19" spans="1:14" ht="17.25" thickBot="1" x14ac:dyDescent="0.35">
      <c r="A19" s="3" t="s">
        <v>40</v>
      </c>
      <c r="B19" s="4">
        <v>45536</v>
      </c>
      <c r="C19" s="3">
        <v>2174.54</v>
      </c>
      <c r="D19" s="3" t="s">
        <v>8</v>
      </c>
      <c r="E19" s="3" t="s">
        <v>116</v>
      </c>
      <c r="F19" s="3" t="s">
        <v>10</v>
      </c>
      <c r="G19" s="3" t="s">
        <v>114</v>
      </c>
      <c r="J19" s="9" t="s">
        <v>198</v>
      </c>
      <c r="K19" s="12">
        <v>9501.41</v>
      </c>
      <c r="L19"/>
      <c r="M19"/>
      <c r="N19"/>
    </row>
    <row r="20" spans="1:14" ht="17.25" thickBot="1" x14ac:dyDescent="0.35">
      <c r="A20" s="3" t="s">
        <v>41</v>
      </c>
      <c r="B20" s="4">
        <v>45423</v>
      </c>
      <c r="C20" s="3">
        <v>7693.02</v>
      </c>
      <c r="D20" s="3" t="s">
        <v>37</v>
      </c>
      <c r="E20" s="3" t="s">
        <v>25</v>
      </c>
      <c r="F20" s="3" t="s">
        <v>17</v>
      </c>
      <c r="G20" s="3" t="s">
        <v>118</v>
      </c>
      <c r="J20" s="9" t="s">
        <v>204</v>
      </c>
      <c r="K20" s="12">
        <v>20977.63</v>
      </c>
      <c r="L20"/>
      <c r="M20"/>
      <c r="N20"/>
    </row>
    <row r="21" spans="1:14" ht="17.25" thickBot="1" x14ac:dyDescent="0.35">
      <c r="A21" s="3" t="s">
        <v>42</v>
      </c>
      <c r="B21" s="4">
        <v>45490</v>
      </c>
      <c r="C21" s="3">
        <v>17119.240000000002</v>
      </c>
      <c r="D21" s="3" t="s">
        <v>8</v>
      </c>
      <c r="E21" s="3" t="s">
        <v>122</v>
      </c>
      <c r="F21" s="3" t="s">
        <v>39</v>
      </c>
      <c r="G21" s="3" t="s">
        <v>120</v>
      </c>
      <c r="J21" s="9" t="s">
        <v>221</v>
      </c>
      <c r="K21" s="12">
        <v>9751.7800000000007</v>
      </c>
      <c r="L21"/>
      <c r="M21"/>
    </row>
    <row r="22" spans="1:14" ht="17.25" thickBot="1" x14ac:dyDescent="0.35">
      <c r="A22" s="3" t="s">
        <v>326</v>
      </c>
      <c r="B22" s="4">
        <v>45474</v>
      </c>
      <c r="C22" s="3">
        <v>13029.8</v>
      </c>
      <c r="D22" s="3" t="s">
        <v>37</v>
      </c>
      <c r="E22" s="3" t="s">
        <v>98</v>
      </c>
      <c r="F22" s="3" t="s">
        <v>26</v>
      </c>
      <c r="G22" s="3" t="s">
        <v>155</v>
      </c>
      <c r="J22" s="9" t="s">
        <v>278</v>
      </c>
      <c r="K22" s="12">
        <v>42954.92</v>
      </c>
      <c r="L22"/>
      <c r="M22"/>
    </row>
    <row r="23" spans="1:14" ht="17.25" thickBot="1" x14ac:dyDescent="0.35">
      <c r="A23" s="3" t="s">
        <v>327</v>
      </c>
      <c r="B23" s="4">
        <v>45463</v>
      </c>
      <c r="C23" s="3">
        <v>26797.66</v>
      </c>
      <c r="D23" s="3" t="s">
        <v>37</v>
      </c>
      <c r="E23" s="3" t="s">
        <v>160</v>
      </c>
      <c r="F23" s="3" t="s">
        <v>31</v>
      </c>
      <c r="G23" s="3" t="s">
        <v>158</v>
      </c>
      <c r="J23" s="9" t="s">
        <v>293</v>
      </c>
      <c r="K23" s="12">
        <v>3724.08</v>
      </c>
      <c r="L23"/>
      <c r="M23"/>
    </row>
    <row r="24" spans="1:14" ht="17.25" thickBot="1" x14ac:dyDescent="0.35">
      <c r="A24" s="3" t="s">
        <v>328</v>
      </c>
      <c r="B24" s="4">
        <v>45492</v>
      </c>
      <c r="C24" s="3">
        <v>24033.78</v>
      </c>
      <c r="D24" s="3" t="s">
        <v>28</v>
      </c>
      <c r="E24" s="3" t="s">
        <v>164</v>
      </c>
      <c r="F24" s="3" t="s">
        <v>39</v>
      </c>
      <c r="G24" s="3" t="s">
        <v>162</v>
      </c>
      <c r="J24" s="9" t="s">
        <v>307</v>
      </c>
      <c r="K24" s="12">
        <v>10410.14</v>
      </c>
      <c r="L24"/>
      <c r="M24"/>
    </row>
    <row r="25" spans="1:14" ht="17.25" thickBot="1" x14ac:dyDescent="0.35">
      <c r="A25" s="3" t="s">
        <v>329</v>
      </c>
      <c r="B25" s="4">
        <v>45442</v>
      </c>
      <c r="C25" s="3">
        <v>3550.06</v>
      </c>
      <c r="D25" s="3" t="s">
        <v>8</v>
      </c>
      <c r="E25" s="3" t="s">
        <v>154</v>
      </c>
      <c r="F25" s="3" t="s">
        <v>39</v>
      </c>
      <c r="G25" s="3" t="s">
        <v>165</v>
      </c>
      <c r="J25" s="9" t="s">
        <v>316</v>
      </c>
      <c r="K25" s="12">
        <v>26890.63</v>
      </c>
      <c r="L25"/>
      <c r="M25"/>
    </row>
    <row r="26" spans="1:14" ht="17.25" thickBot="1" x14ac:dyDescent="0.35">
      <c r="A26" s="3" t="s">
        <v>330</v>
      </c>
      <c r="B26" s="4">
        <v>45333</v>
      </c>
      <c r="C26" s="3">
        <v>22560.53</v>
      </c>
      <c r="D26" s="3" t="s">
        <v>8</v>
      </c>
      <c r="E26" s="3" t="s">
        <v>154</v>
      </c>
      <c r="F26" s="3" t="s">
        <v>31</v>
      </c>
      <c r="G26" s="3" t="s">
        <v>167</v>
      </c>
      <c r="J26" s="8" t="s">
        <v>107</v>
      </c>
      <c r="K26" s="12">
        <v>57541.02</v>
      </c>
      <c r="L26"/>
      <c r="M26"/>
    </row>
    <row r="27" spans="1:14" ht="17.25" thickBot="1" x14ac:dyDescent="0.35">
      <c r="A27" s="3" t="s">
        <v>331</v>
      </c>
      <c r="B27" s="4">
        <v>45369</v>
      </c>
      <c r="C27" s="3">
        <v>32400.05</v>
      </c>
      <c r="D27" s="3" t="s">
        <v>8</v>
      </c>
      <c r="E27" s="3" t="s">
        <v>30</v>
      </c>
      <c r="F27" s="3" t="s">
        <v>31</v>
      </c>
      <c r="G27" s="3" t="s">
        <v>169</v>
      </c>
      <c r="J27" s="9" t="s">
        <v>105</v>
      </c>
      <c r="K27" s="12">
        <v>6812.79</v>
      </c>
      <c r="L27"/>
      <c r="M27"/>
    </row>
    <row r="28" spans="1:14" ht="17.25" thickBot="1" x14ac:dyDescent="0.35">
      <c r="A28" s="3" t="s">
        <v>332</v>
      </c>
      <c r="B28" s="4">
        <v>45448</v>
      </c>
      <c r="C28" s="3">
        <v>6922.44</v>
      </c>
      <c r="D28" s="3" t="s">
        <v>28</v>
      </c>
      <c r="E28" s="3" t="s">
        <v>173</v>
      </c>
      <c r="F28" s="3" t="s">
        <v>26</v>
      </c>
      <c r="G28" s="3" t="s">
        <v>171</v>
      </c>
      <c r="J28" s="9" t="s">
        <v>176</v>
      </c>
      <c r="K28" s="12">
        <v>5882.2</v>
      </c>
      <c r="L28"/>
      <c r="M28"/>
    </row>
    <row r="29" spans="1:14" ht="17.25" thickBot="1" x14ac:dyDescent="0.35">
      <c r="A29" s="3" t="s">
        <v>333</v>
      </c>
      <c r="B29" s="4">
        <v>45438</v>
      </c>
      <c r="C29" s="3">
        <v>9175.06</v>
      </c>
      <c r="D29" s="3" t="s">
        <v>8</v>
      </c>
      <c r="E29" s="3" t="s">
        <v>102</v>
      </c>
      <c r="F29" s="3" t="s">
        <v>26</v>
      </c>
      <c r="G29" s="3" t="s">
        <v>174</v>
      </c>
      <c r="J29" s="9" t="s">
        <v>256</v>
      </c>
      <c r="K29" s="12">
        <v>41280.769999999997</v>
      </c>
      <c r="L29"/>
      <c r="M29"/>
    </row>
    <row r="30" spans="1:14" ht="17.25" thickBot="1" x14ac:dyDescent="0.35">
      <c r="A30" s="3" t="s">
        <v>334</v>
      </c>
      <c r="B30" s="4">
        <v>45405</v>
      </c>
      <c r="C30" s="3">
        <v>5882.2</v>
      </c>
      <c r="D30" s="3" t="s">
        <v>37</v>
      </c>
      <c r="E30" s="3" t="s">
        <v>107</v>
      </c>
      <c r="F30" s="3" t="s">
        <v>17</v>
      </c>
      <c r="G30" s="3" t="s">
        <v>176</v>
      </c>
      <c r="J30" s="9" t="s">
        <v>280</v>
      </c>
      <c r="K30" s="12">
        <v>3565.26</v>
      </c>
      <c r="L30"/>
      <c r="M30"/>
    </row>
    <row r="31" spans="1:14" ht="17.25" thickBot="1" x14ac:dyDescent="0.35">
      <c r="A31" s="3" t="s">
        <v>335</v>
      </c>
      <c r="B31" s="4">
        <v>45395</v>
      </c>
      <c r="C31" s="3">
        <v>18621.45</v>
      </c>
      <c r="D31" s="3" t="s">
        <v>28</v>
      </c>
      <c r="E31" s="3" t="s">
        <v>35</v>
      </c>
      <c r="F31" s="3" t="s">
        <v>31</v>
      </c>
      <c r="G31" s="3" t="s">
        <v>178</v>
      </c>
      <c r="J31" s="8" t="s">
        <v>19</v>
      </c>
      <c r="K31" s="12">
        <v>33389</v>
      </c>
      <c r="L31"/>
      <c r="M31"/>
    </row>
    <row r="32" spans="1:14" ht="17.25" thickBot="1" x14ac:dyDescent="0.35">
      <c r="A32" s="3" t="s">
        <v>336</v>
      </c>
      <c r="B32" s="4">
        <v>45395</v>
      </c>
      <c r="C32" s="3">
        <v>40935.29</v>
      </c>
      <c r="D32" s="3" t="s">
        <v>28</v>
      </c>
      <c r="E32" s="3" t="s">
        <v>102</v>
      </c>
      <c r="F32" s="3" t="s">
        <v>39</v>
      </c>
      <c r="G32" s="3" t="s">
        <v>180</v>
      </c>
      <c r="J32" s="9" t="s">
        <v>248</v>
      </c>
      <c r="K32" s="12">
        <v>3903.89</v>
      </c>
      <c r="L32"/>
      <c r="M32"/>
    </row>
    <row r="33" spans="1:13" ht="17.25" thickBot="1" x14ac:dyDescent="0.35">
      <c r="A33" s="3" t="s">
        <v>337</v>
      </c>
      <c r="B33" s="4">
        <v>45358</v>
      </c>
      <c r="C33" s="3">
        <v>3552.38</v>
      </c>
      <c r="D33" s="3" t="s">
        <v>37</v>
      </c>
      <c r="E33" s="3" t="s">
        <v>30</v>
      </c>
      <c r="F33" s="3" t="s">
        <v>10</v>
      </c>
      <c r="G33" s="3" t="s">
        <v>182</v>
      </c>
      <c r="J33" s="9" t="s">
        <v>266</v>
      </c>
      <c r="K33" s="12">
        <v>8337.52</v>
      </c>
      <c r="L33"/>
      <c r="M33"/>
    </row>
    <row r="34" spans="1:13" ht="17.25" thickBot="1" x14ac:dyDescent="0.35">
      <c r="A34" s="3" t="s">
        <v>338</v>
      </c>
      <c r="B34" s="4">
        <v>45328</v>
      </c>
      <c r="C34" s="3">
        <v>36152.68</v>
      </c>
      <c r="D34" s="3" t="s">
        <v>8</v>
      </c>
      <c r="E34" s="3" t="s">
        <v>186</v>
      </c>
      <c r="F34" s="3" t="s">
        <v>17</v>
      </c>
      <c r="G34" s="3" t="s">
        <v>184</v>
      </c>
      <c r="J34" s="9" t="s">
        <v>297</v>
      </c>
      <c r="K34" s="12">
        <v>21147.59</v>
      </c>
      <c r="L34"/>
      <c r="M34"/>
    </row>
    <row r="35" spans="1:13" ht="17.25" thickBot="1" x14ac:dyDescent="0.35">
      <c r="A35" s="3" t="s">
        <v>339</v>
      </c>
      <c r="B35" s="4">
        <v>45500</v>
      </c>
      <c r="C35" s="3">
        <v>38151.24</v>
      </c>
      <c r="D35" s="3" t="s">
        <v>8</v>
      </c>
      <c r="E35" s="3" t="s">
        <v>9</v>
      </c>
      <c r="F35" s="3" t="s">
        <v>17</v>
      </c>
      <c r="G35" s="3" t="s">
        <v>187</v>
      </c>
      <c r="J35" s="8" t="s">
        <v>173</v>
      </c>
      <c r="K35" s="12">
        <v>24106</v>
      </c>
      <c r="L35"/>
      <c r="M35"/>
    </row>
    <row r="36" spans="1:13" ht="17.25" thickBot="1" x14ac:dyDescent="0.35">
      <c r="A36" s="3" t="s">
        <v>340</v>
      </c>
      <c r="B36" s="4">
        <v>45481</v>
      </c>
      <c r="C36" s="3">
        <v>6218.8</v>
      </c>
      <c r="D36" s="3" t="s">
        <v>37</v>
      </c>
      <c r="E36" s="3" t="s">
        <v>88</v>
      </c>
      <c r="F36" s="3" t="s">
        <v>31</v>
      </c>
      <c r="G36" s="3" t="s">
        <v>189</v>
      </c>
      <c r="J36" s="9" t="s">
        <v>171</v>
      </c>
      <c r="K36" s="12">
        <v>6922.44</v>
      </c>
      <c r="L36"/>
      <c r="M36"/>
    </row>
    <row r="37" spans="1:13" ht="17.25" thickBot="1" x14ac:dyDescent="0.35">
      <c r="A37" s="3" t="s">
        <v>341</v>
      </c>
      <c r="B37" s="4">
        <v>45458</v>
      </c>
      <c r="C37" s="3">
        <v>26230.3</v>
      </c>
      <c r="D37" s="3" t="s">
        <v>37</v>
      </c>
      <c r="E37" s="3" t="s">
        <v>25</v>
      </c>
      <c r="F37" s="3" t="s">
        <v>10</v>
      </c>
      <c r="G37" s="3" t="s">
        <v>192</v>
      </c>
      <c r="J37" s="9" t="s">
        <v>200</v>
      </c>
      <c r="K37" s="12">
        <v>7276.73</v>
      </c>
      <c r="L37"/>
      <c r="M37"/>
    </row>
    <row r="38" spans="1:13" ht="17.25" thickBot="1" x14ac:dyDescent="0.35">
      <c r="A38" s="3" t="s">
        <v>342</v>
      </c>
      <c r="B38" s="4">
        <v>45440</v>
      </c>
      <c r="C38" s="3">
        <v>21509.79</v>
      </c>
      <c r="D38" s="3" t="s">
        <v>164</v>
      </c>
      <c r="E38" s="3" t="s">
        <v>164</v>
      </c>
      <c r="F38" s="3" t="s">
        <v>26</v>
      </c>
      <c r="G38" s="3" t="s">
        <v>194</v>
      </c>
      <c r="J38" s="9" t="s">
        <v>274</v>
      </c>
      <c r="K38" s="12">
        <v>9906.83</v>
      </c>
      <c r="L38"/>
      <c r="M38"/>
    </row>
    <row r="39" spans="1:13" ht="17.25" thickBot="1" x14ac:dyDescent="0.35">
      <c r="A39" s="3" t="s">
        <v>343</v>
      </c>
      <c r="B39" s="4">
        <v>45435</v>
      </c>
      <c r="C39" s="3">
        <v>8895.36</v>
      </c>
      <c r="D39" s="3" t="s">
        <v>28</v>
      </c>
      <c r="E39" s="3" t="s">
        <v>116</v>
      </c>
      <c r="F39" s="3" t="s">
        <v>17</v>
      </c>
      <c r="G39" s="3" t="s">
        <v>196</v>
      </c>
      <c r="J39" s="8" t="s">
        <v>186</v>
      </c>
      <c r="K39" s="12">
        <v>81849.820000000007</v>
      </c>
      <c r="L39"/>
      <c r="M39"/>
    </row>
    <row r="40" spans="1:13" ht="17.25" thickBot="1" x14ac:dyDescent="0.35">
      <c r="A40" s="3" t="s">
        <v>344</v>
      </c>
      <c r="B40" s="4">
        <v>45382</v>
      </c>
      <c r="C40" s="3">
        <v>9501.41</v>
      </c>
      <c r="D40" s="3" t="s">
        <v>30</v>
      </c>
      <c r="E40" s="3" t="s">
        <v>30</v>
      </c>
      <c r="F40" s="3" t="s">
        <v>39</v>
      </c>
      <c r="G40" s="3" t="s">
        <v>198</v>
      </c>
      <c r="J40" s="9" t="s">
        <v>184</v>
      </c>
      <c r="K40" s="12">
        <v>36152.68</v>
      </c>
      <c r="L40"/>
      <c r="M40"/>
    </row>
    <row r="41" spans="1:13" ht="17.25" thickBot="1" x14ac:dyDescent="0.35">
      <c r="A41" s="3" t="s">
        <v>345</v>
      </c>
      <c r="B41" s="4">
        <v>45410</v>
      </c>
      <c r="C41" s="3">
        <v>7276.73</v>
      </c>
      <c r="D41" s="3" t="s">
        <v>37</v>
      </c>
      <c r="E41" s="3" t="s">
        <v>173</v>
      </c>
      <c r="F41" s="3" t="s">
        <v>10</v>
      </c>
      <c r="G41" s="3" t="s">
        <v>200</v>
      </c>
      <c r="J41" s="9" t="s">
        <v>299</v>
      </c>
      <c r="K41" s="12">
        <v>19109.89</v>
      </c>
      <c r="L41"/>
      <c r="M41"/>
    </row>
    <row r="42" spans="1:13" ht="17.25" thickBot="1" x14ac:dyDescent="0.35">
      <c r="A42" s="3" t="s">
        <v>346</v>
      </c>
      <c r="B42" s="4">
        <v>45442</v>
      </c>
      <c r="C42" s="3">
        <v>35186.639999999999</v>
      </c>
      <c r="D42" s="3" t="s">
        <v>8</v>
      </c>
      <c r="E42" s="3" t="s">
        <v>98</v>
      </c>
      <c r="F42" s="3" t="s">
        <v>17</v>
      </c>
      <c r="G42" s="3" t="s">
        <v>202</v>
      </c>
      <c r="J42" s="9" t="s">
        <v>322</v>
      </c>
      <c r="K42" s="12">
        <v>26587.25</v>
      </c>
      <c r="L42"/>
      <c r="M42"/>
    </row>
    <row r="43" spans="1:13" ht="17.25" thickBot="1" x14ac:dyDescent="0.35">
      <c r="A43" s="3" t="s">
        <v>347</v>
      </c>
      <c r="B43" s="4">
        <v>45362</v>
      </c>
      <c r="C43" s="3">
        <v>20977.63</v>
      </c>
      <c r="D43" s="3" t="s">
        <v>8</v>
      </c>
      <c r="E43" s="3" t="s">
        <v>30</v>
      </c>
      <c r="F43" s="3" t="s">
        <v>10</v>
      </c>
      <c r="G43" s="3" t="s">
        <v>204</v>
      </c>
      <c r="J43" s="8" t="s">
        <v>290</v>
      </c>
      <c r="K43" s="12">
        <v>55991.680000000008</v>
      </c>
      <c r="L43"/>
      <c r="M43"/>
    </row>
    <row r="44" spans="1:13" ht="17.25" thickBot="1" x14ac:dyDescent="0.35">
      <c r="A44" s="3" t="s">
        <v>348</v>
      </c>
      <c r="B44" s="4">
        <v>45452</v>
      </c>
      <c r="C44" s="3">
        <v>40557.15</v>
      </c>
      <c r="D44" s="3" t="s">
        <v>8</v>
      </c>
      <c r="E44" s="3" t="s">
        <v>88</v>
      </c>
      <c r="F44" s="3" t="s">
        <v>31</v>
      </c>
      <c r="G44" s="3" t="s">
        <v>206</v>
      </c>
      <c r="J44" s="9" t="s">
        <v>288</v>
      </c>
      <c r="K44" s="12">
        <v>34859.19</v>
      </c>
      <c r="L44"/>
      <c r="M44"/>
    </row>
    <row r="45" spans="1:13" ht="17.25" thickBot="1" x14ac:dyDescent="0.35">
      <c r="A45" s="3" t="s">
        <v>349</v>
      </c>
      <c r="B45" s="4">
        <v>45384</v>
      </c>
      <c r="C45" s="3">
        <v>49929.77</v>
      </c>
      <c r="D45" s="3" t="s">
        <v>350</v>
      </c>
      <c r="E45" s="3" t="s">
        <v>72</v>
      </c>
      <c r="F45" s="3" t="s">
        <v>17</v>
      </c>
      <c r="G45" s="3" t="s">
        <v>208</v>
      </c>
      <c r="J45" s="9" t="s">
        <v>324</v>
      </c>
      <c r="K45" s="12">
        <v>21132.49</v>
      </c>
      <c r="L45"/>
      <c r="M45"/>
    </row>
    <row r="46" spans="1:13" ht="17.25" thickBot="1" x14ac:dyDescent="0.35">
      <c r="A46" s="3" t="s">
        <v>351</v>
      </c>
      <c r="B46" s="4">
        <v>45379</v>
      </c>
      <c r="C46" s="3">
        <v>13352.19</v>
      </c>
      <c r="D46" s="3" t="s">
        <v>37</v>
      </c>
      <c r="E46" s="3" t="s">
        <v>43</v>
      </c>
      <c r="F46" s="3" t="s">
        <v>26</v>
      </c>
      <c r="G46" s="3" t="s">
        <v>210</v>
      </c>
      <c r="J46" s="8" t="s">
        <v>25</v>
      </c>
      <c r="K46" s="12">
        <v>49462.53</v>
      </c>
      <c r="L46"/>
      <c r="M46"/>
    </row>
    <row r="47" spans="1:13" ht="17.25" thickBot="1" x14ac:dyDescent="0.35">
      <c r="A47" s="3" t="s">
        <v>352</v>
      </c>
      <c r="B47" s="4">
        <v>45336</v>
      </c>
      <c r="C47" s="3">
        <v>49155.11</v>
      </c>
      <c r="D47" s="3" t="s">
        <v>8</v>
      </c>
      <c r="E47" s="3" t="s">
        <v>22</v>
      </c>
      <c r="F47" s="3" t="s">
        <v>17</v>
      </c>
      <c r="G47" s="3" t="s">
        <v>213</v>
      </c>
      <c r="J47" s="9" t="s">
        <v>118</v>
      </c>
      <c r="K47" s="12">
        <v>7693.02</v>
      </c>
      <c r="L47"/>
      <c r="M47"/>
    </row>
    <row r="48" spans="1:13" ht="17.25" thickBot="1" x14ac:dyDescent="0.35">
      <c r="A48" s="3" t="s">
        <v>353</v>
      </c>
      <c r="B48" s="4">
        <v>45536</v>
      </c>
      <c r="C48" s="3">
        <v>15463.62</v>
      </c>
      <c r="D48" s="3" t="s">
        <v>28</v>
      </c>
      <c r="E48" s="3" t="s">
        <v>35</v>
      </c>
      <c r="F48" s="3" t="s">
        <v>39</v>
      </c>
      <c r="G48" s="3" t="s">
        <v>215</v>
      </c>
      <c r="J48" s="9" t="s">
        <v>192</v>
      </c>
      <c r="K48" s="12">
        <v>26230.3</v>
      </c>
      <c r="L48"/>
      <c r="M48"/>
    </row>
    <row r="49" spans="1:13" ht="17.25" thickBot="1" x14ac:dyDescent="0.35">
      <c r="A49" s="3" t="s">
        <v>354</v>
      </c>
      <c r="B49" s="4">
        <v>45481</v>
      </c>
      <c r="C49" s="3">
        <v>15539.21</v>
      </c>
      <c r="D49" s="3" t="s">
        <v>8</v>
      </c>
      <c r="E49" s="3" t="s">
        <v>25</v>
      </c>
      <c r="F49" s="3" t="s">
        <v>39</v>
      </c>
      <c r="G49" s="3" t="s">
        <v>217</v>
      </c>
      <c r="J49" s="9" t="s">
        <v>217</v>
      </c>
      <c r="K49" s="12">
        <v>15539.21</v>
      </c>
      <c r="L49"/>
      <c r="M49"/>
    </row>
    <row r="50" spans="1:13" ht="17.25" thickBot="1" x14ac:dyDescent="0.35">
      <c r="A50" s="3" t="s">
        <v>355</v>
      </c>
      <c r="B50" s="4">
        <v>45469</v>
      </c>
      <c r="C50" s="3">
        <v>40390.07</v>
      </c>
      <c r="D50" s="3" t="s">
        <v>37</v>
      </c>
      <c r="E50" s="3" t="s">
        <v>88</v>
      </c>
      <c r="F50" s="3" t="s">
        <v>17</v>
      </c>
      <c r="G50" s="3" t="s">
        <v>219</v>
      </c>
      <c r="J50" s="8" t="s">
        <v>116</v>
      </c>
      <c r="K50" s="12">
        <v>94589.62999999999</v>
      </c>
      <c r="L50"/>
      <c r="M50"/>
    </row>
    <row r="51" spans="1:13" ht="17.25" thickBot="1" x14ac:dyDescent="0.35">
      <c r="A51" s="3" t="s">
        <v>356</v>
      </c>
      <c r="B51" s="4">
        <v>45465</v>
      </c>
      <c r="C51" s="3">
        <v>9751.7800000000007</v>
      </c>
      <c r="D51" s="3" t="s">
        <v>8</v>
      </c>
      <c r="E51" s="3" t="s">
        <v>30</v>
      </c>
      <c r="F51" s="3" t="s">
        <v>10</v>
      </c>
      <c r="G51" s="3" t="s">
        <v>221</v>
      </c>
      <c r="J51" s="9" t="s">
        <v>114</v>
      </c>
      <c r="K51" s="12">
        <v>2174.54</v>
      </c>
      <c r="L51"/>
      <c r="M51"/>
    </row>
    <row r="52" spans="1:13" ht="17.25" thickBot="1" x14ac:dyDescent="0.35">
      <c r="A52" s="3" t="s">
        <v>357</v>
      </c>
      <c r="B52" s="4">
        <v>45371</v>
      </c>
      <c r="C52" s="3">
        <v>7765.39</v>
      </c>
      <c r="D52" s="3" t="s">
        <v>37</v>
      </c>
      <c r="E52" s="3" t="s">
        <v>154</v>
      </c>
      <c r="F52" s="3" t="s">
        <v>17</v>
      </c>
      <c r="G52" s="3" t="s">
        <v>222</v>
      </c>
      <c r="J52" s="9" t="s">
        <v>196</v>
      </c>
      <c r="K52" s="12">
        <v>8895.36</v>
      </c>
      <c r="L52"/>
      <c r="M52"/>
    </row>
    <row r="53" spans="1:13" ht="17.25" thickBot="1" x14ac:dyDescent="0.35">
      <c r="A53" s="3" t="s">
        <v>358</v>
      </c>
      <c r="B53" s="4">
        <v>45508</v>
      </c>
      <c r="C53" s="3">
        <v>8496.4</v>
      </c>
      <c r="D53" s="3" t="s">
        <v>8</v>
      </c>
      <c r="E53" s="3" t="s">
        <v>226</v>
      </c>
      <c r="F53" s="3" t="s">
        <v>31</v>
      </c>
      <c r="G53" s="3" t="s">
        <v>224</v>
      </c>
      <c r="J53" s="9" t="s">
        <v>232</v>
      </c>
      <c r="K53" s="12">
        <v>23203.63</v>
      </c>
      <c r="L53"/>
      <c r="M53"/>
    </row>
    <row r="54" spans="1:13" ht="17.25" thickBot="1" x14ac:dyDescent="0.35">
      <c r="A54" s="3" t="s">
        <v>359</v>
      </c>
      <c r="B54" s="4">
        <v>45518</v>
      </c>
      <c r="C54" s="3">
        <v>10453.01</v>
      </c>
      <c r="D54" s="3" t="s">
        <v>8</v>
      </c>
      <c r="E54" s="3" t="s">
        <v>98</v>
      </c>
      <c r="F54" s="3" t="s">
        <v>31</v>
      </c>
      <c r="G54" s="3" t="s">
        <v>227</v>
      </c>
      <c r="J54" s="9" t="s">
        <v>268</v>
      </c>
      <c r="K54" s="12">
        <v>4766.2</v>
      </c>
      <c r="L54"/>
      <c r="M54"/>
    </row>
    <row r="55" spans="1:13" ht="17.25" thickBot="1" x14ac:dyDescent="0.35">
      <c r="A55" s="3" t="s">
        <v>360</v>
      </c>
      <c r="B55" s="4">
        <v>45374</v>
      </c>
      <c r="C55" s="3">
        <v>6885.22</v>
      </c>
      <c r="D55" s="3" t="s">
        <v>28</v>
      </c>
      <c r="E55" s="3" t="s">
        <v>122</v>
      </c>
      <c r="F55" s="3" t="s">
        <v>39</v>
      </c>
      <c r="G55" s="3" t="s">
        <v>229</v>
      </c>
      <c r="J55" s="9" t="s">
        <v>291</v>
      </c>
      <c r="K55" s="12">
        <v>37041.85</v>
      </c>
      <c r="L55"/>
      <c r="M55"/>
    </row>
    <row r="56" spans="1:13" ht="17.25" thickBot="1" x14ac:dyDescent="0.35">
      <c r="A56" s="3" t="s">
        <v>361</v>
      </c>
      <c r="B56" s="4">
        <v>45455</v>
      </c>
      <c r="C56" s="3">
        <v>24609.56</v>
      </c>
      <c r="D56" s="3" t="s">
        <v>8</v>
      </c>
      <c r="E56" s="3" t="s">
        <v>102</v>
      </c>
      <c r="F56" s="3" t="s">
        <v>26</v>
      </c>
      <c r="G56" s="3" t="s">
        <v>231</v>
      </c>
      <c r="J56" s="9" t="s">
        <v>318</v>
      </c>
      <c r="K56" s="12">
        <v>18508.05</v>
      </c>
      <c r="L56"/>
      <c r="M56"/>
    </row>
    <row r="57" spans="1:13" ht="17.25" thickBot="1" x14ac:dyDescent="0.35">
      <c r="A57" s="3" t="s">
        <v>362</v>
      </c>
      <c r="B57" s="4">
        <v>45375</v>
      </c>
      <c r="C57" s="3">
        <v>23203.63</v>
      </c>
      <c r="D57" s="3" t="s">
        <v>28</v>
      </c>
      <c r="E57" s="3" t="s">
        <v>116</v>
      </c>
      <c r="F57" s="3" t="s">
        <v>31</v>
      </c>
      <c r="G57" s="3" t="s">
        <v>232</v>
      </c>
      <c r="J57" s="8" t="s">
        <v>102</v>
      </c>
      <c r="K57" s="12">
        <v>153792.84</v>
      </c>
      <c r="L57"/>
      <c r="M57"/>
    </row>
    <row r="58" spans="1:13" ht="17.25" thickBot="1" x14ac:dyDescent="0.35">
      <c r="A58" s="3" t="s">
        <v>363</v>
      </c>
      <c r="B58" s="4">
        <v>45514</v>
      </c>
      <c r="C58" s="3">
        <v>14483.98</v>
      </c>
      <c r="D58" s="3" t="s">
        <v>8</v>
      </c>
      <c r="E58" s="3" t="s">
        <v>35</v>
      </c>
      <c r="F58" s="3" t="s">
        <v>39</v>
      </c>
      <c r="G58" s="3" t="s">
        <v>234</v>
      </c>
      <c r="J58" s="9" t="s">
        <v>100</v>
      </c>
      <c r="K58" s="12">
        <v>3643</v>
      </c>
      <c r="L58"/>
      <c r="M58"/>
    </row>
    <row r="59" spans="1:13" ht="17.25" thickBot="1" x14ac:dyDescent="0.35">
      <c r="A59" s="3" t="s">
        <v>364</v>
      </c>
      <c r="B59" s="4">
        <v>45354</v>
      </c>
      <c r="C59" s="3">
        <v>49230.52</v>
      </c>
      <c r="D59" s="3" t="s">
        <v>37</v>
      </c>
      <c r="E59" s="3" t="s">
        <v>102</v>
      </c>
      <c r="F59" s="3" t="s">
        <v>10</v>
      </c>
      <c r="G59" s="3" t="s">
        <v>237</v>
      </c>
      <c r="J59" s="9" t="s">
        <v>174</v>
      </c>
      <c r="K59" s="12">
        <v>9175.06</v>
      </c>
      <c r="L59"/>
      <c r="M59"/>
    </row>
    <row r="60" spans="1:13" ht="17.25" thickBot="1" x14ac:dyDescent="0.35">
      <c r="A60" s="3" t="s">
        <v>365</v>
      </c>
      <c r="B60" s="4">
        <v>45515</v>
      </c>
      <c r="C60" s="3">
        <v>41311.46</v>
      </c>
      <c r="D60" s="3" t="s">
        <v>8</v>
      </c>
      <c r="E60" s="3" t="s">
        <v>241</v>
      </c>
      <c r="F60" s="3" t="s">
        <v>10</v>
      </c>
      <c r="G60" s="3" t="s">
        <v>239</v>
      </c>
      <c r="J60" s="9" t="s">
        <v>180</v>
      </c>
      <c r="K60" s="12">
        <v>40935.29</v>
      </c>
      <c r="L60"/>
      <c r="M60"/>
    </row>
    <row r="61" spans="1:13" ht="17.25" thickBot="1" x14ac:dyDescent="0.35">
      <c r="A61" s="3" t="s">
        <v>366</v>
      </c>
      <c r="B61" s="4">
        <v>45392</v>
      </c>
      <c r="C61" s="3">
        <v>7085.15</v>
      </c>
      <c r="D61" s="3" t="s">
        <v>37</v>
      </c>
      <c r="E61" s="3" t="s">
        <v>43</v>
      </c>
      <c r="F61" s="3" t="s">
        <v>31</v>
      </c>
      <c r="G61" s="3" t="s">
        <v>242</v>
      </c>
      <c r="J61" s="9" t="s">
        <v>231</v>
      </c>
      <c r="K61" s="12">
        <v>24609.56</v>
      </c>
      <c r="L61"/>
      <c r="M61"/>
    </row>
    <row r="62" spans="1:13" ht="17.25" thickBot="1" x14ac:dyDescent="0.35">
      <c r="A62" s="3" t="s">
        <v>367</v>
      </c>
      <c r="B62" s="4">
        <v>45344</v>
      </c>
      <c r="C62" s="3">
        <v>31327.54</v>
      </c>
      <c r="D62" s="3" t="s">
        <v>8</v>
      </c>
      <c r="E62" s="3" t="s">
        <v>16</v>
      </c>
      <c r="F62" s="3" t="s">
        <v>26</v>
      </c>
      <c r="G62" s="3" t="s">
        <v>244</v>
      </c>
      <c r="J62" s="9" t="s">
        <v>237</v>
      </c>
      <c r="K62" s="12">
        <v>49230.52</v>
      </c>
      <c r="L62"/>
      <c r="M62"/>
    </row>
    <row r="63" spans="1:13" ht="17.25" thickBot="1" x14ac:dyDescent="0.35">
      <c r="A63" s="3" t="s">
        <v>368</v>
      </c>
      <c r="B63" s="4">
        <v>45472</v>
      </c>
      <c r="C63" s="3">
        <v>6382.18</v>
      </c>
      <c r="D63" s="3" t="s">
        <v>28</v>
      </c>
      <c r="E63" s="3" t="s">
        <v>153</v>
      </c>
      <c r="F63" s="3" t="s">
        <v>26</v>
      </c>
      <c r="G63" s="3" t="s">
        <v>246</v>
      </c>
      <c r="J63" s="9" t="s">
        <v>270</v>
      </c>
      <c r="K63" s="12">
        <v>5361.29</v>
      </c>
      <c r="L63"/>
      <c r="M63"/>
    </row>
    <row r="64" spans="1:13" ht="17.25" thickBot="1" x14ac:dyDescent="0.35">
      <c r="A64" s="3" t="s">
        <v>369</v>
      </c>
      <c r="B64" s="4">
        <v>45367</v>
      </c>
      <c r="C64" s="3">
        <v>3903.89</v>
      </c>
      <c r="D64" s="3" t="s">
        <v>19</v>
      </c>
      <c r="E64" s="3" t="s">
        <v>19</v>
      </c>
      <c r="F64" s="3" t="s">
        <v>17</v>
      </c>
      <c r="G64" s="3" t="s">
        <v>248</v>
      </c>
      <c r="J64" s="9" t="s">
        <v>312</v>
      </c>
      <c r="K64" s="12">
        <v>11224.99</v>
      </c>
      <c r="L64"/>
      <c r="M64"/>
    </row>
    <row r="65" spans="1:13" ht="17.25" thickBot="1" x14ac:dyDescent="0.35">
      <c r="A65" s="3" t="s">
        <v>370</v>
      </c>
      <c r="B65" s="4">
        <v>45338</v>
      </c>
      <c r="C65" s="3">
        <v>29568.55</v>
      </c>
      <c r="D65" s="3" t="s">
        <v>8</v>
      </c>
      <c r="E65" s="3" t="s">
        <v>88</v>
      </c>
      <c r="F65" s="3" t="s">
        <v>31</v>
      </c>
      <c r="G65" s="3" t="s">
        <v>250</v>
      </c>
      <c r="J65" s="9" t="s">
        <v>314</v>
      </c>
      <c r="K65" s="12">
        <v>9613.1299999999992</v>
      </c>
      <c r="L65"/>
      <c r="M65"/>
    </row>
    <row r="66" spans="1:13" ht="17.25" thickBot="1" x14ac:dyDescent="0.35">
      <c r="A66" s="3" t="s">
        <v>371</v>
      </c>
      <c r="B66" s="4">
        <v>45497</v>
      </c>
      <c r="C66" s="3">
        <v>27747.46</v>
      </c>
      <c r="D66" s="3" t="s">
        <v>372</v>
      </c>
      <c r="E66" s="3" t="s">
        <v>16</v>
      </c>
      <c r="F66" s="3" t="s">
        <v>39</v>
      </c>
      <c r="G66" s="3" t="s">
        <v>251</v>
      </c>
      <c r="J66" s="8" t="s">
        <v>16</v>
      </c>
      <c r="K66" s="12">
        <v>72520.41</v>
      </c>
      <c r="L66"/>
      <c r="M66"/>
    </row>
    <row r="67" spans="1:13" ht="17.25" thickBot="1" x14ac:dyDescent="0.35">
      <c r="A67" s="3" t="s">
        <v>373</v>
      </c>
      <c r="B67" s="4">
        <v>45488</v>
      </c>
      <c r="C67" s="3">
        <v>8899.36</v>
      </c>
      <c r="D67" s="3" t="s">
        <v>164</v>
      </c>
      <c r="E67" s="3" t="s">
        <v>164</v>
      </c>
      <c r="F67" s="3" t="s">
        <v>26</v>
      </c>
      <c r="G67" s="3" t="s">
        <v>253</v>
      </c>
      <c r="J67" s="9" t="s">
        <v>244</v>
      </c>
      <c r="K67" s="12">
        <v>31327.54</v>
      </c>
      <c r="L67"/>
      <c r="M67"/>
    </row>
    <row r="68" spans="1:13" ht="17.25" thickBot="1" x14ac:dyDescent="0.35">
      <c r="A68" s="3" t="s">
        <v>374</v>
      </c>
      <c r="B68" s="4">
        <v>45536</v>
      </c>
      <c r="C68" s="3">
        <v>41280.769999999997</v>
      </c>
      <c r="D68" s="3" t="s">
        <v>8</v>
      </c>
      <c r="E68" s="3" t="s">
        <v>107</v>
      </c>
      <c r="F68" s="3" t="s">
        <v>31</v>
      </c>
      <c r="G68" s="3" t="s">
        <v>256</v>
      </c>
      <c r="J68" s="9" t="s">
        <v>251</v>
      </c>
      <c r="K68" s="12">
        <v>27747.46</v>
      </c>
      <c r="L68"/>
      <c r="M68"/>
    </row>
    <row r="69" spans="1:13" ht="17.25" thickBot="1" x14ac:dyDescent="0.35">
      <c r="A69" s="3" t="s">
        <v>375</v>
      </c>
      <c r="B69" s="4">
        <v>45375</v>
      </c>
      <c r="C69" s="3">
        <v>30431.87</v>
      </c>
      <c r="D69" s="3" t="s">
        <v>164</v>
      </c>
      <c r="E69" s="3" t="s">
        <v>164</v>
      </c>
      <c r="F69" s="3" t="s">
        <v>39</v>
      </c>
      <c r="G69" s="3" t="s">
        <v>258</v>
      </c>
      <c r="J69" s="9" t="s">
        <v>262</v>
      </c>
      <c r="K69" s="12">
        <v>13445.41</v>
      </c>
      <c r="L69"/>
      <c r="M69"/>
    </row>
    <row r="70" spans="1:13" ht="17.25" thickBot="1" x14ac:dyDescent="0.35">
      <c r="A70" s="3" t="s">
        <v>376</v>
      </c>
      <c r="B70" s="4">
        <v>45500</v>
      </c>
      <c r="C70" s="3">
        <v>2998.03</v>
      </c>
      <c r="D70" s="3" t="s">
        <v>160</v>
      </c>
      <c r="E70" s="3" t="s">
        <v>160</v>
      </c>
      <c r="F70" s="3" t="s">
        <v>26</v>
      </c>
      <c r="G70" s="3" t="s">
        <v>260</v>
      </c>
      <c r="J70" s="8" t="s">
        <v>22</v>
      </c>
      <c r="K70" s="12">
        <v>107011.45999999999</v>
      </c>
      <c r="L70"/>
      <c r="M70"/>
    </row>
    <row r="71" spans="1:13" ht="17.25" thickBot="1" x14ac:dyDescent="0.35">
      <c r="A71" s="3" t="s">
        <v>377</v>
      </c>
      <c r="B71" s="4">
        <v>45449</v>
      </c>
      <c r="C71" s="3">
        <v>13445.41</v>
      </c>
      <c r="D71" s="3" t="s">
        <v>372</v>
      </c>
      <c r="E71" s="3" t="s">
        <v>16</v>
      </c>
      <c r="F71" s="3" t="s">
        <v>10</v>
      </c>
      <c r="G71" s="3" t="s">
        <v>262</v>
      </c>
      <c r="J71" s="9" t="s">
        <v>90</v>
      </c>
      <c r="K71" s="12">
        <v>17703.580000000002</v>
      </c>
      <c r="L71"/>
      <c r="M71"/>
    </row>
    <row r="72" spans="1:13" ht="17.25" thickBot="1" x14ac:dyDescent="0.35">
      <c r="A72" s="3" t="s">
        <v>378</v>
      </c>
      <c r="B72" s="4">
        <v>45447</v>
      </c>
      <c r="C72" s="3">
        <v>37281.14</v>
      </c>
      <c r="D72" s="3" t="s">
        <v>35</v>
      </c>
      <c r="E72" s="3" t="s">
        <v>35</v>
      </c>
      <c r="F72" s="3" t="s">
        <v>26</v>
      </c>
      <c r="G72" s="3" t="s">
        <v>264</v>
      </c>
      <c r="J72" s="9" t="s">
        <v>213</v>
      </c>
      <c r="K72" s="12">
        <v>49155.11</v>
      </c>
      <c r="L72"/>
      <c r="M72"/>
    </row>
    <row r="73" spans="1:13" ht="17.25" thickBot="1" x14ac:dyDescent="0.35">
      <c r="A73" s="3" t="s">
        <v>379</v>
      </c>
      <c r="B73" s="4">
        <v>45538</v>
      </c>
      <c r="C73" s="3">
        <v>8337.52</v>
      </c>
      <c r="D73" s="3" t="s">
        <v>19</v>
      </c>
      <c r="E73" s="3" t="s">
        <v>19</v>
      </c>
      <c r="F73" s="3" t="s">
        <v>59</v>
      </c>
      <c r="G73" s="3" t="s">
        <v>266</v>
      </c>
      <c r="J73" s="9" t="s">
        <v>301</v>
      </c>
      <c r="K73" s="12">
        <v>40152.769999999997</v>
      </c>
      <c r="L73"/>
      <c r="M73"/>
    </row>
    <row r="74" spans="1:13" ht="17.25" thickBot="1" x14ac:dyDescent="0.35">
      <c r="A74" s="3" t="s">
        <v>380</v>
      </c>
      <c r="B74" s="4">
        <v>45349</v>
      </c>
      <c r="C74" s="3">
        <v>4766.2</v>
      </c>
      <c r="D74" s="3" t="s">
        <v>116</v>
      </c>
      <c r="E74" s="3" t="s">
        <v>116</v>
      </c>
      <c r="F74" s="3" t="s">
        <v>31</v>
      </c>
      <c r="G74" s="3" t="s">
        <v>268</v>
      </c>
      <c r="J74" s="8" t="s">
        <v>154</v>
      </c>
      <c r="K74" s="12">
        <v>71447.200000000012</v>
      </c>
      <c r="L74"/>
      <c r="M74"/>
    </row>
    <row r="75" spans="1:13" ht="17.25" thickBot="1" x14ac:dyDescent="0.35">
      <c r="A75" s="3" t="s">
        <v>381</v>
      </c>
      <c r="B75" s="4">
        <v>45514</v>
      </c>
      <c r="C75" s="3">
        <v>5361.29</v>
      </c>
      <c r="D75" s="3" t="s">
        <v>102</v>
      </c>
      <c r="E75" s="3" t="s">
        <v>102</v>
      </c>
      <c r="F75" s="3" t="s">
        <v>10</v>
      </c>
      <c r="G75" s="3" t="s">
        <v>270</v>
      </c>
      <c r="J75" s="9" t="s">
        <v>165</v>
      </c>
      <c r="K75" s="12">
        <v>3550.06</v>
      </c>
      <c r="L75"/>
      <c r="M75"/>
    </row>
    <row r="76" spans="1:13" ht="17.25" thickBot="1" x14ac:dyDescent="0.35">
      <c r="A76" s="3" t="s">
        <v>382</v>
      </c>
      <c r="B76" s="4">
        <v>45391</v>
      </c>
      <c r="C76" s="3">
        <v>28278.05</v>
      </c>
      <c r="D76" s="3" t="s">
        <v>76</v>
      </c>
      <c r="E76" s="3" t="s">
        <v>76</v>
      </c>
      <c r="F76" s="3" t="s">
        <v>89</v>
      </c>
      <c r="G76" s="3" t="s">
        <v>272</v>
      </c>
      <c r="J76" s="9" t="s">
        <v>167</v>
      </c>
      <c r="K76" s="12">
        <v>22560.53</v>
      </c>
      <c r="L76"/>
      <c r="M76"/>
    </row>
    <row r="77" spans="1:13" ht="17.25" thickBot="1" x14ac:dyDescent="0.35">
      <c r="A77" s="3" t="s">
        <v>383</v>
      </c>
      <c r="B77" s="4">
        <v>45520</v>
      </c>
      <c r="C77" s="3">
        <v>9906.83</v>
      </c>
      <c r="D77" s="3" t="s">
        <v>173</v>
      </c>
      <c r="E77" s="3" t="s">
        <v>173</v>
      </c>
      <c r="F77" s="3" t="s">
        <v>39</v>
      </c>
      <c r="G77" s="3" t="s">
        <v>274</v>
      </c>
      <c r="J77" s="9" t="s">
        <v>222</v>
      </c>
      <c r="K77" s="12">
        <v>7765.39</v>
      </c>
      <c r="L77"/>
      <c r="M77"/>
    </row>
    <row r="78" spans="1:13" ht="17.25" thickBot="1" x14ac:dyDescent="0.35">
      <c r="A78" s="3" t="s">
        <v>384</v>
      </c>
      <c r="B78" s="4">
        <v>45403</v>
      </c>
      <c r="C78" s="3">
        <v>26766.27</v>
      </c>
      <c r="D78" s="3" t="s">
        <v>153</v>
      </c>
      <c r="E78" s="3" t="s">
        <v>153</v>
      </c>
      <c r="F78" s="3" t="s">
        <v>26</v>
      </c>
      <c r="G78" s="3" t="s">
        <v>276</v>
      </c>
      <c r="J78" s="9" t="s">
        <v>282</v>
      </c>
      <c r="K78" s="12">
        <v>3771.78</v>
      </c>
      <c r="L78"/>
      <c r="M78"/>
    </row>
    <row r="79" spans="1:13" ht="17.25" thickBot="1" x14ac:dyDescent="0.35">
      <c r="A79" s="3" t="s">
        <v>385</v>
      </c>
      <c r="B79" s="4">
        <v>45355</v>
      </c>
      <c r="C79" s="3">
        <v>42954.92</v>
      </c>
      <c r="D79" s="3" t="s">
        <v>30</v>
      </c>
      <c r="E79" s="3" t="s">
        <v>30</v>
      </c>
      <c r="F79" s="3" t="s">
        <v>17</v>
      </c>
      <c r="G79" s="3" t="s">
        <v>278</v>
      </c>
      <c r="J79" s="9" t="s">
        <v>303</v>
      </c>
      <c r="K79" s="12">
        <v>33799.440000000002</v>
      </c>
      <c r="L79"/>
      <c r="M79"/>
    </row>
    <row r="80" spans="1:13" ht="17.25" thickBot="1" x14ac:dyDescent="0.35">
      <c r="A80" s="3" t="s">
        <v>386</v>
      </c>
      <c r="B80" s="4">
        <v>45374</v>
      </c>
      <c r="C80" s="3">
        <v>3565.26</v>
      </c>
      <c r="D80" s="3" t="s">
        <v>107</v>
      </c>
      <c r="E80" s="3" t="s">
        <v>107</v>
      </c>
      <c r="F80" s="3" t="s">
        <v>17</v>
      </c>
      <c r="G80" s="3" t="s">
        <v>280</v>
      </c>
      <c r="J80" s="8" t="s">
        <v>88</v>
      </c>
      <c r="K80" s="12">
        <v>201359.64</v>
      </c>
      <c r="L80"/>
      <c r="M80"/>
    </row>
    <row r="81" spans="1:13" ht="17.25" thickBot="1" x14ac:dyDescent="0.35">
      <c r="A81" s="3" t="s">
        <v>387</v>
      </c>
      <c r="B81" s="4">
        <v>45434</v>
      </c>
      <c r="C81" s="3">
        <v>3771.78</v>
      </c>
      <c r="D81" s="3" t="s">
        <v>154</v>
      </c>
      <c r="E81" s="3" t="s">
        <v>154</v>
      </c>
      <c r="F81" s="3" t="s">
        <v>10</v>
      </c>
      <c r="G81" s="3" t="s">
        <v>282</v>
      </c>
      <c r="J81" s="9" t="s">
        <v>86</v>
      </c>
      <c r="K81" s="12">
        <v>7055.86</v>
      </c>
      <c r="L81"/>
      <c r="M81"/>
    </row>
    <row r="82" spans="1:13" ht="17.25" thickBot="1" x14ac:dyDescent="0.35">
      <c r="A82" s="3" t="s">
        <v>388</v>
      </c>
      <c r="B82" s="4">
        <v>45464</v>
      </c>
      <c r="C82" s="3">
        <v>9985.14</v>
      </c>
      <c r="D82" s="3" t="s">
        <v>13</v>
      </c>
      <c r="E82" s="3" t="s">
        <v>13</v>
      </c>
      <c r="F82" s="3" t="s">
        <v>26</v>
      </c>
      <c r="G82" s="3" t="s">
        <v>284</v>
      </c>
      <c r="J82" s="9" t="s">
        <v>92</v>
      </c>
      <c r="K82" s="12">
        <v>14860.19</v>
      </c>
      <c r="L82"/>
      <c r="M82"/>
    </row>
    <row r="83" spans="1:13" ht="17.25" thickBot="1" x14ac:dyDescent="0.35">
      <c r="A83" s="3" t="s">
        <v>389</v>
      </c>
      <c r="B83" s="4">
        <v>45413</v>
      </c>
      <c r="C83" s="3">
        <v>20626.7</v>
      </c>
      <c r="D83" s="3" t="s">
        <v>43</v>
      </c>
      <c r="E83" s="3" t="s">
        <v>43</v>
      </c>
      <c r="F83" s="3" t="s">
        <v>31</v>
      </c>
      <c r="G83" s="3" t="s">
        <v>286</v>
      </c>
      <c r="J83" s="9" t="s">
        <v>109</v>
      </c>
      <c r="K83" s="12">
        <v>23418.86</v>
      </c>
      <c r="L83"/>
      <c r="M83"/>
    </row>
    <row r="84" spans="1:13" ht="17.25" thickBot="1" x14ac:dyDescent="0.35">
      <c r="A84" s="3" t="s">
        <v>390</v>
      </c>
      <c r="B84" s="4">
        <v>45361</v>
      </c>
      <c r="C84" s="3">
        <v>34859.19</v>
      </c>
      <c r="D84" s="3" t="s">
        <v>290</v>
      </c>
      <c r="E84" s="3" t="s">
        <v>290</v>
      </c>
      <c r="F84" s="3" t="s">
        <v>17</v>
      </c>
      <c r="G84" s="3" t="s">
        <v>288</v>
      </c>
      <c r="J84" s="9" t="s">
        <v>189</v>
      </c>
      <c r="K84" s="12">
        <v>6218.8</v>
      </c>
      <c r="L84"/>
      <c r="M84"/>
    </row>
    <row r="85" spans="1:13" ht="17.25" thickBot="1" x14ac:dyDescent="0.35">
      <c r="A85" s="3" t="s">
        <v>391</v>
      </c>
      <c r="B85" s="4">
        <v>45336</v>
      </c>
      <c r="C85" s="3">
        <v>37041.85</v>
      </c>
      <c r="D85" s="3" t="s">
        <v>116</v>
      </c>
      <c r="E85" s="3" t="s">
        <v>116</v>
      </c>
      <c r="F85" s="3" t="s">
        <v>39</v>
      </c>
      <c r="G85" s="3" t="s">
        <v>291</v>
      </c>
      <c r="J85" s="9" t="s">
        <v>206</v>
      </c>
      <c r="K85" s="12">
        <v>40557.15</v>
      </c>
      <c r="L85"/>
      <c r="M85"/>
    </row>
    <row r="86" spans="1:13" ht="17.25" thickBot="1" x14ac:dyDescent="0.35">
      <c r="A86" s="3" t="s">
        <v>392</v>
      </c>
      <c r="B86" s="4">
        <v>45411</v>
      </c>
      <c r="C86" s="3">
        <v>3724.08</v>
      </c>
      <c r="D86" s="3" t="s">
        <v>30</v>
      </c>
      <c r="E86" s="3" t="s">
        <v>30</v>
      </c>
      <c r="F86" s="3" t="s">
        <v>26</v>
      </c>
      <c r="G86" s="3" t="s">
        <v>293</v>
      </c>
      <c r="J86" s="9" t="s">
        <v>219</v>
      </c>
      <c r="K86" s="12">
        <v>40390.07</v>
      </c>
      <c r="L86"/>
      <c r="M86"/>
    </row>
    <row r="87" spans="1:13" ht="17.25" thickBot="1" x14ac:dyDescent="0.35">
      <c r="A87" s="3" t="s">
        <v>393</v>
      </c>
      <c r="B87" s="4">
        <v>45534</v>
      </c>
      <c r="C87" s="3">
        <v>11138.67</v>
      </c>
      <c r="D87" s="3" t="s">
        <v>164</v>
      </c>
      <c r="E87" s="3" t="s">
        <v>164</v>
      </c>
      <c r="F87" s="3" t="s">
        <v>31</v>
      </c>
      <c r="G87" s="3" t="s">
        <v>295</v>
      </c>
      <c r="J87" s="9" t="s">
        <v>250</v>
      </c>
      <c r="K87" s="12">
        <v>29568.55</v>
      </c>
      <c r="L87"/>
      <c r="M87"/>
    </row>
    <row r="88" spans="1:13" ht="17.25" thickBot="1" x14ac:dyDescent="0.35">
      <c r="A88" s="3" t="s">
        <v>394</v>
      </c>
      <c r="B88" s="4">
        <v>45508</v>
      </c>
      <c r="C88" s="3">
        <v>21147.59</v>
      </c>
      <c r="D88" s="3" t="s">
        <v>19</v>
      </c>
      <c r="E88" s="3" t="s">
        <v>19</v>
      </c>
      <c r="F88" s="3" t="s">
        <v>26</v>
      </c>
      <c r="G88" s="3" t="s">
        <v>297</v>
      </c>
      <c r="J88" s="9" t="s">
        <v>320</v>
      </c>
      <c r="K88" s="12">
        <v>39290.160000000003</v>
      </c>
      <c r="L88"/>
      <c r="M88"/>
    </row>
    <row r="89" spans="1:13" ht="17.25" thickBot="1" x14ac:dyDescent="0.35">
      <c r="A89" s="3" t="s">
        <v>395</v>
      </c>
      <c r="B89" s="4">
        <v>45491</v>
      </c>
      <c r="C89" s="3">
        <v>19109.89</v>
      </c>
      <c r="D89" s="3" t="s">
        <v>186</v>
      </c>
      <c r="E89" s="3" t="s">
        <v>186</v>
      </c>
      <c r="F89" s="3" t="s">
        <v>17</v>
      </c>
      <c r="G89" s="3" t="s">
        <v>299</v>
      </c>
      <c r="J89" s="8" t="s">
        <v>226</v>
      </c>
      <c r="K89" s="12">
        <v>8496.4</v>
      </c>
      <c r="L89"/>
      <c r="M89"/>
    </row>
    <row r="90" spans="1:13" ht="17.25" thickBot="1" x14ac:dyDescent="0.35">
      <c r="A90" s="3" t="s">
        <v>396</v>
      </c>
      <c r="B90" s="4">
        <v>45343</v>
      </c>
      <c r="C90" s="3">
        <v>40152.769999999997</v>
      </c>
      <c r="D90" s="3" t="s">
        <v>22</v>
      </c>
      <c r="E90" s="3" t="s">
        <v>22</v>
      </c>
      <c r="F90" s="3" t="s">
        <v>39</v>
      </c>
      <c r="G90" s="3" t="s">
        <v>301</v>
      </c>
      <c r="J90" s="9" t="s">
        <v>224</v>
      </c>
      <c r="K90" s="12">
        <v>8496.4</v>
      </c>
      <c r="L90"/>
      <c r="M90"/>
    </row>
    <row r="91" spans="1:13" ht="17.25" thickBot="1" x14ac:dyDescent="0.35">
      <c r="A91" s="3" t="s">
        <v>397</v>
      </c>
      <c r="B91" s="4">
        <v>45522</v>
      </c>
      <c r="C91" s="3">
        <v>33799.440000000002</v>
      </c>
      <c r="D91" s="3" t="s">
        <v>154</v>
      </c>
      <c r="E91" s="3" t="s">
        <v>154</v>
      </c>
      <c r="F91" s="3" t="s">
        <v>26</v>
      </c>
      <c r="G91" s="3" t="s">
        <v>303</v>
      </c>
      <c r="J91" s="8" t="s">
        <v>311</v>
      </c>
      <c r="K91" s="12">
        <v>47291.31</v>
      </c>
      <c r="L91"/>
      <c r="M91"/>
    </row>
    <row r="92" spans="1:13" ht="17.25" thickBot="1" x14ac:dyDescent="0.35">
      <c r="A92" s="3" t="s">
        <v>398</v>
      </c>
      <c r="B92" s="4">
        <v>45502</v>
      </c>
      <c r="C92" s="3">
        <v>46627.82</v>
      </c>
      <c r="D92" s="3" t="s">
        <v>80</v>
      </c>
      <c r="E92" s="3" t="s">
        <v>80</v>
      </c>
      <c r="F92" s="3" t="s">
        <v>17</v>
      </c>
      <c r="G92" s="3" t="s">
        <v>305</v>
      </c>
      <c r="J92" s="9" t="s">
        <v>309</v>
      </c>
      <c r="K92" s="12">
        <v>47291.31</v>
      </c>
      <c r="L92"/>
      <c r="M92"/>
    </row>
    <row r="93" spans="1:13" ht="17.25" thickBot="1" x14ac:dyDescent="0.35">
      <c r="A93" s="3" t="s">
        <v>399</v>
      </c>
      <c r="B93" s="4">
        <v>45440</v>
      </c>
      <c r="C93" s="3">
        <v>10410.14</v>
      </c>
      <c r="D93" s="3" t="s">
        <v>30</v>
      </c>
      <c r="E93" s="3" t="s">
        <v>30</v>
      </c>
      <c r="F93" s="3" t="s">
        <v>26</v>
      </c>
      <c r="G93" s="3" t="s">
        <v>307</v>
      </c>
      <c r="J93" s="8" t="s">
        <v>160</v>
      </c>
      <c r="K93" s="12">
        <v>29795.69</v>
      </c>
      <c r="L93"/>
      <c r="M93"/>
    </row>
    <row r="94" spans="1:13" ht="17.25" thickBot="1" x14ac:dyDescent="0.35">
      <c r="A94" s="3" t="s">
        <v>400</v>
      </c>
      <c r="B94" s="4">
        <v>45420</v>
      </c>
      <c r="C94" s="3">
        <v>47291.31</v>
      </c>
      <c r="D94" s="3" t="s">
        <v>311</v>
      </c>
      <c r="E94" s="3" t="s">
        <v>311</v>
      </c>
      <c r="F94" s="3" t="s">
        <v>10</v>
      </c>
      <c r="G94" s="3" t="s">
        <v>309</v>
      </c>
      <c r="J94" s="9" t="s">
        <v>158</v>
      </c>
      <c r="K94" s="12">
        <v>26797.66</v>
      </c>
      <c r="L94"/>
      <c r="M94"/>
    </row>
    <row r="95" spans="1:13" ht="17.25" thickBot="1" x14ac:dyDescent="0.35">
      <c r="A95" s="3" t="s">
        <v>401</v>
      </c>
      <c r="B95" s="4">
        <v>45368</v>
      </c>
      <c r="C95" s="3">
        <v>11224.99</v>
      </c>
      <c r="D95" s="3" t="s">
        <v>102</v>
      </c>
      <c r="E95" s="3" t="s">
        <v>102</v>
      </c>
      <c r="F95" s="3" t="s">
        <v>31</v>
      </c>
      <c r="G95" s="3" t="s">
        <v>312</v>
      </c>
      <c r="J95" s="9" t="s">
        <v>260</v>
      </c>
      <c r="K95" s="12">
        <v>2998.03</v>
      </c>
      <c r="L95"/>
      <c r="M95"/>
    </row>
    <row r="96" spans="1:13" ht="17.25" thickBot="1" x14ac:dyDescent="0.35">
      <c r="A96" s="3" t="s">
        <v>402</v>
      </c>
      <c r="B96" s="4">
        <v>45416</v>
      </c>
      <c r="C96" s="3">
        <v>9613.1299999999992</v>
      </c>
      <c r="D96" s="3" t="s">
        <v>102</v>
      </c>
      <c r="E96" s="3" t="s">
        <v>102</v>
      </c>
      <c r="F96" s="3" t="s">
        <v>26</v>
      </c>
      <c r="G96" s="3" t="s">
        <v>314</v>
      </c>
      <c r="J96" s="8" t="s">
        <v>43</v>
      </c>
      <c r="K96" s="12">
        <v>57693.570000000007</v>
      </c>
      <c r="L96"/>
      <c r="M96"/>
    </row>
    <row r="97" spans="1:13" ht="17.25" thickBot="1" x14ac:dyDescent="0.35">
      <c r="A97" s="3" t="s">
        <v>403</v>
      </c>
      <c r="B97" s="4">
        <v>45536</v>
      </c>
      <c r="C97" s="3">
        <v>26890.63</v>
      </c>
      <c r="D97" s="3" t="s">
        <v>30</v>
      </c>
      <c r="E97" s="3" t="s">
        <v>30</v>
      </c>
      <c r="F97" s="3" t="s">
        <v>31</v>
      </c>
      <c r="G97" s="3" t="s">
        <v>316</v>
      </c>
      <c r="J97" s="9" t="s">
        <v>103</v>
      </c>
      <c r="K97" s="12">
        <v>16629.53</v>
      </c>
      <c r="L97"/>
      <c r="M97"/>
    </row>
    <row r="98" spans="1:13" ht="17.25" thickBot="1" x14ac:dyDescent="0.35">
      <c r="A98" s="3" t="s">
        <v>404</v>
      </c>
      <c r="B98" s="4">
        <v>45376</v>
      </c>
      <c r="C98" s="3">
        <v>18508.05</v>
      </c>
      <c r="D98" s="3" t="s">
        <v>116</v>
      </c>
      <c r="E98" s="3" t="s">
        <v>116</v>
      </c>
      <c r="F98" s="3" t="s">
        <v>10</v>
      </c>
      <c r="G98" s="3" t="s">
        <v>318</v>
      </c>
      <c r="J98" s="9" t="s">
        <v>210</v>
      </c>
      <c r="K98" s="12">
        <v>13352.19</v>
      </c>
      <c r="L98"/>
      <c r="M98"/>
    </row>
    <row r="99" spans="1:13" ht="17.25" thickBot="1" x14ac:dyDescent="0.35">
      <c r="A99" s="3" t="s">
        <v>405</v>
      </c>
      <c r="B99" s="4">
        <v>45356</v>
      </c>
      <c r="C99" s="3">
        <v>39290.160000000003</v>
      </c>
      <c r="D99" s="3" t="s">
        <v>88</v>
      </c>
      <c r="E99" s="3" t="s">
        <v>88</v>
      </c>
      <c r="F99" s="3" t="s">
        <v>39</v>
      </c>
      <c r="G99" s="3" t="s">
        <v>320</v>
      </c>
      <c r="J99" s="9" t="s">
        <v>242</v>
      </c>
      <c r="K99" s="12">
        <v>7085.15</v>
      </c>
      <c r="L99"/>
      <c r="M99"/>
    </row>
    <row r="100" spans="1:13" ht="17.25" thickBot="1" x14ac:dyDescent="0.35">
      <c r="A100" s="3" t="s">
        <v>406</v>
      </c>
      <c r="B100" s="4">
        <v>45525</v>
      </c>
      <c r="C100" s="3">
        <v>26587.25</v>
      </c>
      <c r="D100" s="3" t="s">
        <v>186</v>
      </c>
      <c r="E100" s="3" t="s">
        <v>186</v>
      </c>
      <c r="F100" s="3" t="s">
        <v>39</v>
      </c>
      <c r="G100" s="3" t="s">
        <v>322</v>
      </c>
      <c r="J100" s="9" t="s">
        <v>286</v>
      </c>
      <c r="K100" s="12">
        <v>20626.7</v>
      </c>
      <c r="L100"/>
      <c r="M100"/>
    </row>
    <row r="101" spans="1:13" ht="17.25" thickBot="1" x14ac:dyDescent="0.35">
      <c r="A101" s="3" t="s">
        <v>407</v>
      </c>
      <c r="B101" s="4">
        <v>45449</v>
      </c>
      <c r="C101" s="3">
        <v>21132.49</v>
      </c>
      <c r="D101" s="3" t="s">
        <v>290</v>
      </c>
      <c r="E101" s="3" t="s">
        <v>290</v>
      </c>
      <c r="F101" s="3" t="s">
        <v>26</v>
      </c>
      <c r="G101" s="3" t="s">
        <v>324</v>
      </c>
      <c r="J101" s="8" t="s">
        <v>68</v>
      </c>
      <c r="K101" s="12">
        <v>16000.9</v>
      </c>
      <c r="L101"/>
      <c r="M101"/>
    </row>
    <row r="102" spans="1:13" x14ac:dyDescent="0.3">
      <c r="J102" s="9" t="s">
        <v>66</v>
      </c>
      <c r="K102" s="12">
        <v>16000.9</v>
      </c>
      <c r="L102"/>
      <c r="M102"/>
    </row>
    <row r="103" spans="1:13" x14ac:dyDescent="0.3">
      <c r="J103" s="8" t="s">
        <v>13</v>
      </c>
      <c r="K103" s="12">
        <v>16628.64</v>
      </c>
      <c r="L103"/>
      <c r="M103"/>
    </row>
    <row r="104" spans="1:13" x14ac:dyDescent="0.3">
      <c r="J104" s="9" t="s">
        <v>112</v>
      </c>
      <c r="K104" s="12">
        <v>6643.5</v>
      </c>
      <c r="L104"/>
      <c r="M104"/>
    </row>
    <row r="105" spans="1:13" x14ac:dyDescent="0.3">
      <c r="J105" s="9" t="s">
        <v>284</v>
      </c>
      <c r="K105" s="12">
        <v>9985.14</v>
      </c>
      <c r="L105"/>
      <c r="M105"/>
    </row>
    <row r="106" spans="1:13" x14ac:dyDescent="0.3">
      <c r="J106" s="8" t="s">
        <v>164</v>
      </c>
      <c r="K106" s="12">
        <v>96013.47</v>
      </c>
      <c r="L106"/>
      <c r="M106"/>
    </row>
    <row r="107" spans="1:13" x14ac:dyDescent="0.3">
      <c r="J107" s="9" t="s">
        <v>162</v>
      </c>
      <c r="K107" s="12">
        <v>24033.78</v>
      </c>
      <c r="L107"/>
      <c r="M107"/>
    </row>
    <row r="108" spans="1:13" x14ac:dyDescent="0.3">
      <c r="J108" s="9" t="s">
        <v>194</v>
      </c>
      <c r="K108" s="12">
        <v>21509.79</v>
      </c>
      <c r="L108"/>
      <c r="M108"/>
    </row>
    <row r="109" spans="1:13" x14ac:dyDescent="0.3">
      <c r="J109" s="9" t="s">
        <v>253</v>
      </c>
      <c r="K109" s="12">
        <v>8899.36</v>
      </c>
      <c r="L109"/>
      <c r="M109"/>
    </row>
    <row r="110" spans="1:13" x14ac:dyDescent="0.3">
      <c r="J110" s="9" t="s">
        <v>258</v>
      </c>
      <c r="K110" s="12">
        <v>30431.87</v>
      </c>
      <c r="L110"/>
      <c r="M110"/>
    </row>
    <row r="111" spans="1:13" x14ac:dyDescent="0.3">
      <c r="J111" s="9" t="s">
        <v>295</v>
      </c>
      <c r="K111" s="12">
        <v>11138.67</v>
      </c>
      <c r="L111"/>
      <c r="M111"/>
    </row>
    <row r="112" spans="1:13" x14ac:dyDescent="0.3">
      <c r="J112" s="8" t="s">
        <v>98</v>
      </c>
      <c r="K112" s="12">
        <v>61442.090000000004</v>
      </c>
      <c r="L112"/>
      <c r="M112"/>
    </row>
    <row r="113" spans="10:13" x14ac:dyDescent="0.3">
      <c r="J113" s="9" t="s">
        <v>96</v>
      </c>
      <c r="K113" s="12">
        <v>2772.64</v>
      </c>
      <c r="L113"/>
      <c r="M113"/>
    </row>
    <row r="114" spans="10:13" x14ac:dyDescent="0.3">
      <c r="J114" s="9" t="s">
        <v>155</v>
      </c>
      <c r="K114" s="12">
        <v>13029.8</v>
      </c>
      <c r="L114"/>
      <c r="M114"/>
    </row>
    <row r="115" spans="10:13" x14ac:dyDescent="0.3">
      <c r="J115" s="9" t="s">
        <v>202</v>
      </c>
      <c r="K115" s="12">
        <v>35186.639999999999</v>
      </c>
      <c r="L115"/>
      <c r="M115"/>
    </row>
    <row r="116" spans="10:13" x14ac:dyDescent="0.3">
      <c r="J116" s="9" t="s">
        <v>227</v>
      </c>
      <c r="K116" s="12">
        <v>10453.01</v>
      </c>
      <c r="L116"/>
      <c r="M116"/>
    </row>
    <row r="117" spans="10:13" x14ac:dyDescent="0.3">
      <c r="J117" s="8" t="s">
        <v>80</v>
      </c>
      <c r="K117" s="12">
        <v>102712.43</v>
      </c>
      <c r="L117"/>
      <c r="M117"/>
    </row>
    <row r="118" spans="10:13" x14ac:dyDescent="0.3">
      <c r="J118" s="9" t="s">
        <v>78</v>
      </c>
      <c r="K118" s="12">
        <v>46676.77</v>
      </c>
      <c r="L118"/>
      <c r="M118"/>
    </row>
    <row r="119" spans="10:13" x14ac:dyDescent="0.3">
      <c r="J119" s="9" t="s">
        <v>94</v>
      </c>
      <c r="K119" s="12">
        <v>9407.84</v>
      </c>
      <c r="L119"/>
      <c r="M119"/>
    </row>
    <row r="120" spans="10:13" x14ac:dyDescent="0.3">
      <c r="J120" s="9" t="s">
        <v>305</v>
      </c>
      <c r="K120" s="12">
        <v>46627.82</v>
      </c>
      <c r="L120"/>
      <c r="M120"/>
    </row>
    <row r="121" spans="10:13" x14ac:dyDescent="0.3">
      <c r="J121" s="8" t="s">
        <v>122</v>
      </c>
      <c r="K121" s="12">
        <v>24004.460000000003</v>
      </c>
      <c r="L121"/>
      <c r="M121"/>
    </row>
    <row r="122" spans="10:13" x14ac:dyDescent="0.3">
      <c r="J122" s="9" t="s">
        <v>120</v>
      </c>
      <c r="K122" s="12">
        <v>17119.240000000002</v>
      </c>
      <c r="L122"/>
      <c r="M122"/>
    </row>
    <row r="123" spans="10:13" x14ac:dyDescent="0.3">
      <c r="J123" s="9" t="s">
        <v>229</v>
      </c>
      <c r="K123" s="12">
        <v>6885.22</v>
      </c>
      <c r="L123"/>
      <c r="M123"/>
    </row>
    <row r="124" spans="10:13" x14ac:dyDescent="0.3">
      <c r="J124" s="8" t="s">
        <v>76</v>
      </c>
      <c r="K124" s="12">
        <v>74314.240000000005</v>
      </c>
      <c r="L124"/>
      <c r="M124"/>
    </row>
    <row r="125" spans="10:13" x14ac:dyDescent="0.3">
      <c r="J125" s="9" t="s">
        <v>74</v>
      </c>
      <c r="K125" s="12">
        <v>34119.43</v>
      </c>
      <c r="L125"/>
      <c r="M125"/>
    </row>
    <row r="126" spans="10:13" x14ac:dyDescent="0.3">
      <c r="J126" s="9" t="s">
        <v>84</v>
      </c>
      <c r="K126" s="12">
        <v>11916.76</v>
      </c>
      <c r="L126"/>
      <c r="M126"/>
    </row>
    <row r="127" spans="10:13" x14ac:dyDescent="0.3">
      <c r="J127" s="9" t="s">
        <v>272</v>
      </c>
      <c r="K127" s="12">
        <v>28278.05</v>
      </c>
      <c r="L127"/>
      <c r="M127"/>
    </row>
    <row r="128" spans="10:13" x14ac:dyDescent="0.3">
      <c r="J128" s="8" t="s">
        <v>9</v>
      </c>
      <c r="K128" s="12">
        <v>38151.24</v>
      </c>
      <c r="L128"/>
      <c r="M128"/>
    </row>
    <row r="129" spans="10:13" x14ac:dyDescent="0.3">
      <c r="J129" s="9" t="s">
        <v>187</v>
      </c>
      <c r="K129" s="12">
        <v>38151.24</v>
      </c>
      <c r="L129"/>
      <c r="M129"/>
    </row>
    <row r="130" spans="10:13" x14ac:dyDescent="0.3">
      <c r="J130" s="8" t="s">
        <v>241</v>
      </c>
      <c r="K130" s="12">
        <v>41311.46</v>
      </c>
      <c r="L130"/>
      <c r="M130"/>
    </row>
    <row r="131" spans="10:13" x14ac:dyDescent="0.3">
      <c r="J131" s="9" t="s">
        <v>239</v>
      </c>
      <c r="K131" s="12">
        <v>41311.46</v>
      </c>
      <c r="L131"/>
      <c r="M131"/>
    </row>
    <row r="132" spans="10:13" x14ac:dyDescent="0.3">
      <c r="J132" s="8" t="s">
        <v>64</v>
      </c>
      <c r="K132" s="12">
        <v>46069.27</v>
      </c>
      <c r="L132"/>
      <c r="M132"/>
    </row>
    <row r="133" spans="10:13" x14ac:dyDescent="0.3">
      <c r="J133" s="9" t="s">
        <v>63</v>
      </c>
      <c r="K133" s="12">
        <v>46069.27</v>
      </c>
      <c r="L133"/>
      <c r="M133"/>
    </row>
    <row r="134" spans="10:13" x14ac:dyDescent="0.3">
      <c r="J134" s="8" t="s">
        <v>412</v>
      </c>
      <c r="K134" s="12"/>
      <c r="L134"/>
      <c r="M134"/>
    </row>
    <row r="135" spans="10:13" x14ac:dyDescent="0.3">
      <c r="J135" s="9" t="s">
        <v>412</v>
      </c>
      <c r="K135" s="12"/>
    </row>
    <row r="136" spans="10:13" x14ac:dyDescent="0.3">
      <c r="J136" s="8" t="s">
        <v>410</v>
      </c>
      <c r="K136" s="12">
        <v>2025918.9600000002</v>
      </c>
    </row>
    <row r="137" spans="10:13" x14ac:dyDescent="0.3">
      <c r="J137"/>
      <c r="K137"/>
    </row>
    <row r="138" spans="10:13" x14ac:dyDescent="0.3">
      <c r="J138"/>
      <c r="K138"/>
    </row>
    <row r="139" spans="10:13" x14ac:dyDescent="0.3">
      <c r="J139"/>
      <c r="K139"/>
    </row>
    <row r="140" spans="10:13" x14ac:dyDescent="0.3">
      <c r="J140"/>
      <c r="K140"/>
    </row>
    <row r="141" spans="10:13" x14ac:dyDescent="0.3">
      <c r="J141"/>
      <c r="K141"/>
    </row>
    <row r="142" spans="10:13" x14ac:dyDescent="0.3">
      <c r="J142"/>
      <c r="K142"/>
    </row>
    <row r="143" spans="10:13" x14ac:dyDescent="0.3">
      <c r="J143"/>
      <c r="K143"/>
    </row>
    <row r="144" spans="10:13" x14ac:dyDescent="0.3">
      <c r="J144"/>
      <c r="K144"/>
    </row>
    <row r="145" spans="10:11" x14ac:dyDescent="0.3">
      <c r="J145"/>
      <c r="K145"/>
    </row>
    <row r="146" spans="10:11" x14ac:dyDescent="0.3">
      <c r="J146"/>
      <c r="K146"/>
    </row>
    <row r="147" spans="10:11" x14ac:dyDescent="0.3">
      <c r="J147"/>
      <c r="K147"/>
    </row>
    <row r="148" spans="10:11" x14ac:dyDescent="0.3">
      <c r="J148"/>
      <c r="K148"/>
    </row>
    <row r="149" spans="10:11" x14ac:dyDescent="0.3">
      <c r="J149"/>
      <c r="K149"/>
    </row>
    <row r="150" spans="10:11" x14ac:dyDescent="0.3">
      <c r="J150"/>
      <c r="K150"/>
    </row>
    <row r="151" spans="10:11" x14ac:dyDescent="0.3">
      <c r="J151"/>
      <c r="K151"/>
    </row>
    <row r="152" spans="10:11" x14ac:dyDescent="0.3">
      <c r="J152"/>
      <c r="K152"/>
    </row>
    <row r="153" spans="10:11" x14ac:dyDescent="0.3">
      <c r="J153"/>
      <c r="K153"/>
    </row>
    <row r="154" spans="10:11" x14ac:dyDescent="0.3">
      <c r="J154"/>
      <c r="K154"/>
    </row>
    <row r="155" spans="10:11" x14ac:dyDescent="0.3">
      <c r="J155"/>
      <c r="K155"/>
    </row>
    <row r="156" spans="10:11" x14ac:dyDescent="0.3">
      <c r="J156"/>
      <c r="K156"/>
    </row>
    <row r="157" spans="10:11" x14ac:dyDescent="0.3">
      <c r="J157"/>
      <c r="K157"/>
    </row>
    <row r="158" spans="10:11" x14ac:dyDescent="0.3">
      <c r="J158"/>
      <c r="K158"/>
    </row>
    <row r="159" spans="10:11" x14ac:dyDescent="0.3">
      <c r="J159"/>
      <c r="K159"/>
    </row>
    <row r="160" spans="10:11" x14ac:dyDescent="0.3">
      <c r="J160"/>
      <c r="K160"/>
    </row>
    <row r="161" spans="10:11" x14ac:dyDescent="0.3">
      <c r="J161"/>
      <c r="K161"/>
    </row>
    <row r="162" spans="10:11" x14ac:dyDescent="0.3">
      <c r="J162"/>
      <c r="K162"/>
    </row>
    <row r="163" spans="10:11" x14ac:dyDescent="0.3">
      <c r="J163"/>
      <c r="K163"/>
    </row>
    <row r="164" spans="10:11" x14ac:dyDescent="0.3">
      <c r="J164"/>
      <c r="K164"/>
    </row>
    <row r="165" spans="10:11" x14ac:dyDescent="0.3">
      <c r="J165"/>
      <c r="K165"/>
    </row>
    <row r="166" spans="10:11" x14ac:dyDescent="0.3">
      <c r="J166"/>
      <c r="K166"/>
    </row>
    <row r="167" spans="10:11" x14ac:dyDescent="0.3">
      <c r="J167"/>
      <c r="K167"/>
    </row>
    <row r="168" spans="10:11" x14ac:dyDescent="0.3">
      <c r="J168"/>
      <c r="K168"/>
    </row>
    <row r="169" spans="10:11" x14ac:dyDescent="0.3">
      <c r="J169"/>
      <c r="K169"/>
    </row>
    <row r="170" spans="10:11" x14ac:dyDescent="0.3">
      <c r="J170"/>
      <c r="K170"/>
    </row>
    <row r="171" spans="10:11" x14ac:dyDescent="0.3">
      <c r="J171"/>
      <c r="K171"/>
    </row>
    <row r="172" spans="10:11" x14ac:dyDescent="0.3">
      <c r="J172"/>
      <c r="K172"/>
    </row>
    <row r="173" spans="10:11" x14ac:dyDescent="0.3">
      <c r="J173"/>
      <c r="K173"/>
    </row>
    <row r="174" spans="10:11" x14ac:dyDescent="0.3">
      <c r="J174"/>
      <c r="K174"/>
    </row>
    <row r="175" spans="10:11" x14ac:dyDescent="0.3">
      <c r="J175"/>
      <c r="K175"/>
    </row>
    <row r="176" spans="10:11" x14ac:dyDescent="0.3">
      <c r="J176"/>
      <c r="K176"/>
    </row>
  </sheetData>
  <autoFilter ref="A1:G101" xr:uid="{A0482F40-1660-4EB4-8FE0-5CC15BAC20F6}">
    <sortState xmlns:xlrd2="http://schemas.microsoft.com/office/spreadsheetml/2017/richdata2" ref="A2:G101">
      <sortCondition ref="A1:A101"/>
    </sortState>
  </autoFilter>
  <sortState xmlns:xlrd2="http://schemas.microsoft.com/office/spreadsheetml/2017/richdata2" ref="A2:G101">
    <sortCondition descending="1" ref="C2:C101"/>
  </sortState>
  <conditionalFormatting sqref="C2:C10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3" priority="11" operator="greaterThan">
      <formula>26052.155</formula>
    </cfRule>
  </conditionalFormatting>
  <conditionalFormatting sqref="I104:I10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8">
    <cfRule type="cellIs" dxfId="1" priority="7" operator="greaterThan">
      <formula>9000</formula>
    </cfRule>
  </conditionalFormatting>
  <conditionalFormatting sqref="C1:C1048576">
    <cfRule type="expression" dxfId="0" priority="1">
      <formula>OR(ET= "IR", ET= "MM")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BA9C-8071-47A6-941D-176930D6E983}">
  <dimension ref="A1:G101"/>
  <sheetViews>
    <sheetView workbookViewId="0">
      <pane ySplit="1" topLeftCell="A69" activePane="bottomLeft" state="frozen"/>
      <selection pane="bottomLeft" activeCell="G2" sqref="G2"/>
    </sheetView>
  </sheetViews>
  <sheetFormatPr defaultRowHeight="16.5" x14ac:dyDescent="0.3"/>
  <cols>
    <col min="1" max="1" width="18" style="2" customWidth="1"/>
    <col min="2" max="2" width="14.85546875" style="2" bestFit="1" customWidth="1"/>
    <col min="3" max="3" width="18.28515625" style="5" bestFit="1" customWidth="1"/>
    <col min="4" max="4" width="17.5703125" style="2" customWidth="1"/>
    <col min="5" max="5" width="14.140625" style="2" customWidth="1"/>
    <col min="6" max="6" width="15.28515625" style="2" customWidth="1"/>
    <col min="7" max="7" width="18" style="2" bestFit="1" customWidth="1"/>
    <col min="8" max="16384" width="9.140625" style="2"/>
  </cols>
  <sheetData>
    <row r="1" spans="1:7" ht="18" thickBot="1" x14ac:dyDescent="0.4">
      <c r="A1" s="1" t="s">
        <v>6</v>
      </c>
      <c r="B1" s="1" t="s">
        <v>44</v>
      </c>
      <c r="C1" s="1" t="s">
        <v>45</v>
      </c>
      <c r="D1" s="1" t="s">
        <v>46</v>
      </c>
      <c r="E1" s="1" t="s">
        <v>4</v>
      </c>
      <c r="F1" s="1" t="s">
        <v>47</v>
      </c>
      <c r="G1" s="6" t="s">
        <v>408</v>
      </c>
    </row>
    <row r="2" spans="1:7" ht="18" thickBot="1" x14ac:dyDescent="0.4">
      <c r="A2" s="3" t="s">
        <v>63</v>
      </c>
      <c r="B2" s="3" t="s">
        <v>124</v>
      </c>
      <c r="C2" s="4">
        <v>30558</v>
      </c>
      <c r="D2" s="3" t="s">
        <v>50</v>
      </c>
      <c r="E2" s="3" t="s">
        <v>64</v>
      </c>
      <c r="F2" s="3" t="s">
        <v>65</v>
      </c>
      <c r="G2" s="10" t="str">
        <f>IFERROR(VLOOKUP(B2,Sanctions_PEP!$A$2:$C$11,3,FALSE),"No Match")</f>
        <v>Sanctions</v>
      </c>
    </row>
    <row r="3" spans="1:7" ht="33.75" thickBot="1" x14ac:dyDescent="0.35">
      <c r="A3" s="3" t="s">
        <v>66</v>
      </c>
      <c r="B3" s="3" t="s">
        <v>67</v>
      </c>
      <c r="C3" s="4">
        <v>27406</v>
      </c>
      <c r="D3" s="3" t="s">
        <v>49</v>
      </c>
      <c r="E3" s="3" t="s">
        <v>68</v>
      </c>
      <c r="F3" s="3" t="s">
        <v>69</v>
      </c>
      <c r="G3" s="2" t="str">
        <f>IFERROR(VLOOKUP(B3,Sanctions_PEP!$A$2:$C$11,3,FALSE),"No Match")</f>
        <v>No Match</v>
      </c>
    </row>
    <row r="4" spans="1:7" ht="33.75" thickBot="1" x14ac:dyDescent="0.35">
      <c r="A4" s="3" t="s">
        <v>70</v>
      </c>
      <c r="B4" s="3" t="s">
        <v>71</v>
      </c>
      <c r="C4" s="4">
        <v>33872</v>
      </c>
      <c r="D4" s="3" t="s">
        <v>48</v>
      </c>
      <c r="E4" s="3" t="s">
        <v>72</v>
      </c>
      <c r="F4" s="3" t="s">
        <v>73</v>
      </c>
      <c r="G4" s="2" t="str">
        <f>IFERROR(VLOOKUP(B4,Sanctions_PEP!$A$2:$C$11,3,FALSE),"No Match")</f>
        <v>No Match</v>
      </c>
    </row>
    <row r="5" spans="1:7" ht="17.25" thickBot="1" x14ac:dyDescent="0.35">
      <c r="A5" s="3" t="s">
        <v>74</v>
      </c>
      <c r="B5" s="3" t="s">
        <v>75</v>
      </c>
      <c r="C5" s="4">
        <v>44699</v>
      </c>
      <c r="D5" s="3" t="s">
        <v>48</v>
      </c>
      <c r="E5" s="3" t="s">
        <v>76</v>
      </c>
      <c r="F5" s="3" t="s">
        <v>77</v>
      </c>
      <c r="G5" s="2" t="str">
        <f>IFERROR(VLOOKUP(B5,Sanctions_PEP!$A$2:$C$11,3,FALSE),"No Match")</f>
        <v>No Match</v>
      </c>
    </row>
    <row r="6" spans="1:7" ht="17.25" thickBot="1" x14ac:dyDescent="0.35">
      <c r="A6" s="3" t="s">
        <v>78</v>
      </c>
      <c r="B6" s="3" t="s">
        <v>79</v>
      </c>
      <c r="C6" s="4">
        <v>20173</v>
      </c>
      <c r="D6" s="3" t="s">
        <v>48</v>
      </c>
      <c r="E6" s="3" t="s">
        <v>80</v>
      </c>
      <c r="F6" s="3" t="s">
        <v>81</v>
      </c>
      <c r="G6" s="2" t="str">
        <f>IFERROR(VLOOKUP(B6,Sanctions_PEP!$A$2:$C$11,3,FALSE),"No Match")</f>
        <v>No Match</v>
      </c>
    </row>
    <row r="7" spans="1:7" ht="17.25" thickBot="1" x14ac:dyDescent="0.35">
      <c r="A7" s="3" t="s">
        <v>82</v>
      </c>
      <c r="B7" s="3" t="s">
        <v>83</v>
      </c>
      <c r="C7" s="4">
        <v>23302</v>
      </c>
      <c r="D7" s="3" t="s">
        <v>48</v>
      </c>
      <c r="E7" s="3" t="s">
        <v>30</v>
      </c>
      <c r="F7" s="3" t="s">
        <v>62</v>
      </c>
      <c r="G7" s="2" t="str">
        <f>IFERROR(VLOOKUP(B7,Sanctions_PEP!$A$2:$C$11,3,FALSE),"No Match")</f>
        <v>No Match</v>
      </c>
    </row>
    <row r="8" spans="1:7" ht="33.75" thickBot="1" x14ac:dyDescent="0.35">
      <c r="A8" s="3" t="s">
        <v>84</v>
      </c>
      <c r="B8" s="3" t="s">
        <v>85</v>
      </c>
      <c r="C8" s="4">
        <v>42352</v>
      </c>
      <c r="D8" s="3" t="s">
        <v>48</v>
      </c>
      <c r="E8" s="3" t="s">
        <v>76</v>
      </c>
      <c r="F8" s="3" t="s">
        <v>59</v>
      </c>
      <c r="G8" s="2" t="str">
        <f>IFERROR(VLOOKUP(B8,Sanctions_PEP!$A$2:$C$11,3,FALSE),"No Match")</f>
        <v>No Match</v>
      </c>
    </row>
    <row r="9" spans="1:7" ht="33.75" thickBot="1" x14ac:dyDescent="0.35">
      <c r="A9" s="3" t="s">
        <v>86</v>
      </c>
      <c r="B9" s="3" t="s">
        <v>87</v>
      </c>
      <c r="C9" s="4">
        <v>31482</v>
      </c>
      <c r="D9" s="3" t="s">
        <v>48</v>
      </c>
      <c r="E9" s="3" t="s">
        <v>88</v>
      </c>
      <c r="F9" s="3" t="s">
        <v>89</v>
      </c>
      <c r="G9" s="2" t="str">
        <f>IFERROR(VLOOKUP(B9,Sanctions_PEP!$A$2:$C$11,3,FALSE),"No Match")</f>
        <v>No Match</v>
      </c>
    </row>
    <row r="10" spans="1:7" ht="17.25" thickBot="1" x14ac:dyDescent="0.35">
      <c r="A10" s="3" t="s">
        <v>90</v>
      </c>
      <c r="B10" s="3" t="s">
        <v>91</v>
      </c>
      <c r="C10" s="4">
        <v>44533</v>
      </c>
      <c r="D10" s="3" t="s">
        <v>50</v>
      </c>
      <c r="E10" s="3" t="s">
        <v>22</v>
      </c>
      <c r="F10" s="3" t="s">
        <v>65</v>
      </c>
      <c r="G10" s="2" t="str">
        <f>IFERROR(VLOOKUP(B10,Sanctions_PEP!$A$2:$C$11,3,FALSE),"No Match")</f>
        <v>No Match</v>
      </c>
    </row>
    <row r="11" spans="1:7" ht="33.75" thickBot="1" x14ac:dyDescent="0.35">
      <c r="A11" s="3" t="s">
        <v>92</v>
      </c>
      <c r="B11" s="3" t="s">
        <v>93</v>
      </c>
      <c r="C11" s="4">
        <v>43784</v>
      </c>
      <c r="D11" s="3" t="s">
        <v>48</v>
      </c>
      <c r="E11" s="3" t="s">
        <v>88</v>
      </c>
      <c r="F11" s="3" t="s">
        <v>59</v>
      </c>
      <c r="G11" s="2" t="str">
        <f>IFERROR(VLOOKUP(B11,Sanctions_PEP!$A$2:$C$11,3,FALSE),"No Match")</f>
        <v>No Match</v>
      </c>
    </row>
    <row r="12" spans="1:7" ht="17.25" thickBot="1" x14ac:dyDescent="0.35">
      <c r="A12" s="3" t="s">
        <v>94</v>
      </c>
      <c r="B12" s="3" t="s">
        <v>95</v>
      </c>
      <c r="C12" s="4">
        <v>25759</v>
      </c>
      <c r="D12" s="3" t="s">
        <v>49</v>
      </c>
      <c r="E12" s="3" t="s">
        <v>80</v>
      </c>
      <c r="F12" s="3" t="s">
        <v>55</v>
      </c>
      <c r="G12" s="2" t="str">
        <f>IFERROR(VLOOKUP(B12,Sanctions_PEP!$A$2:$C$11,3,FALSE),"No Match")</f>
        <v>No Match</v>
      </c>
    </row>
    <row r="13" spans="1:7" ht="33.75" thickBot="1" x14ac:dyDescent="0.35">
      <c r="A13" s="3" t="s">
        <v>96</v>
      </c>
      <c r="B13" s="3" t="s">
        <v>97</v>
      </c>
      <c r="C13" s="4">
        <v>28584</v>
      </c>
      <c r="D13" s="3" t="s">
        <v>48</v>
      </c>
      <c r="E13" s="3" t="s">
        <v>98</v>
      </c>
      <c r="F13" s="3" t="s">
        <v>99</v>
      </c>
      <c r="G13" s="2" t="str">
        <f>IFERROR(VLOOKUP(B13,Sanctions_PEP!$A$2:$C$11,3,FALSE),"No Match")</f>
        <v>No Match</v>
      </c>
    </row>
    <row r="14" spans="1:7" ht="33.75" thickBot="1" x14ac:dyDescent="0.35">
      <c r="A14" s="3" t="s">
        <v>100</v>
      </c>
      <c r="B14" s="3" t="s">
        <v>101</v>
      </c>
      <c r="C14" s="4">
        <v>35738</v>
      </c>
      <c r="D14" s="3" t="s">
        <v>48</v>
      </c>
      <c r="E14" s="3" t="s">
        <v>102</v>
      </c>
      <c r="F14" s="3" t="s">
        <v>60</v>
      </c>
      <c r="G14" s="2" t="str">
        <f>IFERROR(VLOOKUP(B14,Sanctions_PEP!$A$2:$C$11,3,FALSE),"No Match")</f>
        <v>No Match</v>
      </c>
    </row>
    <row r="15" spans="1:7" ht="33.75" thickBot="1" x14ac:dyDescent="0.35">
      <c r="A15" s="3" t="s">
        <v>103</v>
      </c>
      <c r="B15" s="3" t="s">
        <v>104</v>
      </c>
      <c r="C15" s="4">
        <v>37108</v>
      </c>
      <c r="D15" s="3" t="s">
        <v>49</v>
      </c>
      <c r="E15" s="3" t="s">
        <v>43</v>
      </c>
      <c r="F15" s="3" t="s">
        <v>99</v>
      </c>
      <c r="G15" s="2" t="str">
        <f>IFERROR(VLOOKUP(B15,Sanctions_PEP!$A$2:$C$11,3,FALSE),"No Match")</f>
        <v>No Match</v>
      </c>
    </row>
    <row r="16" spans="1:7" ht="17.25" thickBot="1" x14ac:dyDescent="0.35">
      <c r="A16" s="3" t="s">
        <v>105</v>
      </c>
      <c r="B16" s="3" t="s">
        <v>106</v>
      </c>
      <c r="C16" s="4">
        <v>35218</v>
      </c>
      <c r="D16" s="3" t="s">
        <v>48</v>
      </c>
      <c r="E16" s="3" t="s">
        <v>107</v>
      </c>
      <c r="F16" s="3" t="s">
        <v>108</v>
      </c>
      <c r="G16" s="2" t="str">
        <f>IFERROR(VLOOKUP(B16,Sanctions_PEP!$A$2:$C$11,3,FALSE),"No Match")</f>
        <v>No Match</v>
      </c>
    </row>
    <row r="17" spans="1:7" ht="33.75" thickBot="1" x14ac:dyDescent="0.35">
      <c r="A17" s="3" t="s">
        <v>109</v>
      </c>
      <c r="B17" s="3" t="s">
        <v>110</v>
      </c>
      <c r="C17" s="4">
        <v>27789</v>
      </c>
      <c r="D17" s="3" t="s">
        <v>49</v>
      </c>
      <c r="E17" s="3" t="s">
        <v>88</v>
      </c>
      <c r="F17" s="3" t="s">
        <v>111</v>
      </c>
      <c r="G17" s="2" t="str">
        <f>IFERROR(VLOOKUP(B17,Sanctions_PEP!$A$2:$C$11,3,FALSE),"No Match")</f>
        <v>No Match</v>
      </c>
    </row>
    <row r="18" spans="1:7" ht="33.75" thickBot="1" x14ac:dyDescent="0.35">
      <c r="A18" s="3" t="s">
        <v>112</v>
      </c>
      <c r="B18" s="3" t="s">
        <v>113</v>
      </c>
      <c r="C18" s="4">
        <v>36248</v>
      </c>
      <c r="D18" s="3" t="s">
        <v>48</v>
      </c>
      <c r="E18" s="3" t="s">
        <v>13</v>
      </c>
      <c r="F18" s="3" t="s">
        <v>57</v>
      </c>
      <c r="G18" s="2" t="str">
        <f>IFERROR(VLOOKUP(B18,Sanctions_PEP!$A$2:$C$11,3,FALSE),"No Match")</f>
        <v>No Match</v>
      </c>
    </row>
    <row r="19" spans="1:7" ht="17.25" thickBot="1" x14ac:dyDescent="0.35">
      <c r="A19" s="3" t="s">
        <v>114</v>
      </c>
      <c r="B19" s="3" t="s">
        <v>115</v>
      </c>
      <c r="C19" s="4">
        <v>30217</v>
      </c>
      <c r="D19" s="3" t="s">
        <v>48</v>
      </c>
      <c r="E19" s="3" t="s">
        <v>116</v>
      </c>
      <c r="F19" s="3" t="s">
        <v>117</v>
      </c>
      <c r="G19" s="2" t="str">
        <f>IFERROR(VLOOKUP(B19,Sanctions_PEP!$A$2:$C$11,3,FALSE),"No Match")</f>
        <v>No Match</v>
      </c>
    </row>
    <row r="20" spans="1:7" ht="33.75" thickBot="1" x14ac:dyDescent="0.35">
      <c r="A20" s="3" t="s">
        <v>118</v>
      </c>
      <c r="B20" s="3" t="s">
        <v>119</v>
      </c>
      <c r="C20" s="4">
        <v>37886</v>
      </c>
      <c r="D20" s="3" t="s">
        <v>48</v>
      </c>
      <c r="E20" s="3" t="s">
        <v>25</v>
      </c>
      <c r="F20" s="3" t="s">
        <v>61</v>
      </c>
      <c r="G20" s="2" t="str">
        <f>IFERROR(VLOOKUP(B20,Sanctions_PEP!$A$2:$C$11,3,FALSE),"No Match")</f>
        <v>No Match</v>
      </c>
    </row>
    <row r="21" spans="1:7" ht="33.75" thickBot="1" x14ac:dyDescent="0.35">
      <c r="A21" s="3" t="s">
        <v>120</v>
      </c>
      <c r="B21" s="3" t="s">
        <v>121</v>
      </c>
      <c r="C21" s="4">
        <v>29524</v>
      </c>
      <c r="D21" s="3" t="s">
        <v>48</v>
      </c>
      <c r="E21" s="3" t="s">
        <v>122</v>
      </c>
      <c r="F21" s="3" t="s">
        <v>55</v>
      </c>
      <c r="G21" s="2" t="str">
        <f>IFERROR(VLOOKUP(B21,Sanctions_PEP!$A$2:$C$11,3,FALSE),"No Match")</f>
        <v>No Match</v>
      </c>
    </row>
    <row r="22" spans="1:7" ht="33.75" thickBot="1" x14ac:dyDescent="0.35">
      <c r="A22" s="3" t="s">
        <v>155</v>
      </c>
      <c r="B22" s="3" t="s">
        <v>156</v>
      </c>
      <c r="C22" s="4">
        <v>27933</v>
      </c>
      <c r="D22" s="3" t="s">
        <v>48</v>
      </c>
      <c r="E22" s="3" t="s">
        <v>98</v>
      </c>
      <c r="F22" s="3" t="s">
        <v>157</v>
      </c>
      <c r="G22" s="2" t="str">
        <f>IFERROR(VLOOKUP(B22,Sanctions_PEP!$A$2:$C$11,3,FALSE),"No Match")</f>
        <v>No Match</v>
      </c>
    </row>
    <row r="23" spans="1:7" ht="17.25" thickBot="1" x14ac:dyDescent="0.35">
      <c r="A23" s="3" t="s">
        <v>158</v>
      </c>
      <c r="B23" s="3" t="s">
        <v>159</v>
      </c>
      <c r="C23" s="4">
        <v>25916</v>
      </c>
      <c r="D23" s="3" t="s">
        <v>48</v>
      </c>
      <c r="E23" s="3" t="s">
        <v>160</v>
      </c>
      <c r="F23" s="3" t="s">
        <v>161</v>
      </c>
      <c r="G23" s="2" t="str">
        <f>IFERROR(VLOOKUP(B23,Sanctions_PEP!$A$2:$C$11,3,FALSE),"No Match")</f>
        <v>No Match</v>
      </c>
    </row>
    <row r="24" spans="1:7" ht="17.25" thickBot="1" x14ac:dyDescent="0.35">
      <c r="A24" s="3" t="s">
        <v>162</v>
      </c>
      <c r="B24" s="3" t="s">
        <v>163</v>
      </c>
      <c r="C24" s="4">
        <v>22975</v>
      </c>
      <c r="D24" s="3" t="s">
        <v>49</v>
      </c>
      <c r="E24" s="3" t="s">
        <v>164</v>
      </c>
      <c r="F24" s="3" t="s">
        <v>51</v>
      </c>
      <c r="G24" s="2" t="str">
        <f>IFERROR(VLOOKUP(B24,Sanctions_PEP!$A$2:$C$11,3,FALSE),"No Match")</f>
        <v>No Match</v>
      </c>
    </row>
    <row r="25" spans="1:7" ht="17.25" thickBot="1" x14ac:dyDescent="0.35">
      <c r="A25" s="3" t="s">
        <v>165</v>
      </c>
      <c r="B25" s="3" t="s">
        <v>166</v>
      </c>
      <c r="C25" s="4">
        <v>27042</v>
      </c>
      <c r="D25" s="3" t="s">
        <v>48</v>
      </c>
      <c r="E25" s="3" t="s">
        <v>154</v>
      </c>
      <c r="F25" s="3" t="s">
        <v>65</v>
      </c>
      <c r="G25" s="2" t="str">
        <f>IFERROR(VLOOKUP(B25,Sanctions_PEP!$A$2:$C$11,3,FALSE),"No Match")</f>
        <v>No Match</v>
      </c>
    </row>
    <row r="26" spans="1:7" ht="17.25" thickBot="1" x14ac:dyDescent="0.35">
      <c r="A26" s="3" t="s">
        <v>167</v>
      </c>
      <c r="B26" s="3" t="s">
        <v>168</v>
      </c>
      <c r="C26" s="4">
        <v>37799</v>
      </c>
      <c r="D26" s="3" t="s">
        <v>48</v>
      </c>
      <c r="E26" s="3" t="s">
        <v>154</v>
      </c>
      <c r="F26" s="3" t="s">
        <v>55</v>
      </c>
      <c r="G26" s="2" t="str">
        <f>IFERROR(VLOOKUP(B26,Sanctions_PEP!$A$2:$C$11,3,FALSE),"No Match")</f>
        <v>No Match</v>
      </c>
    </row>
    <row r="27" spans="1:7" ht="17.25" thickBot="1" x14ac:dyDescent="0.35">
      <c r="A27" s="3" t="s">
        <v>169</v>
      </c>
      <c r="B27" s="3" t="s">
        <v>170</v>
      </c>
      <c r="C27" s="4">
        <v>29934</v>
      </c>
      <c r="D27" s="3" t="s">
        <v>48</v>
      </c>
      <c r="E27" s="3" t="s">
        <v>30</v>
      </c>
      <c r="F27" s="3" t="s">
        <v>57</v>
      </c>
      <c r="G27" s="2" t="str">
        <f>IFERROR(VLOOKUP(B27,Sanctions_PEP!$A$2:$C$11,3,FALSE),"No Match")</f>
        <v>No Match</v>
      </c>
    </row>
    <row r="28" spans="1:7" ht="17.25" thickBot="1" x14ac:dyDescent="0.35">
      <c r="A28" s="3" t="s">
        <v>171</v>
      </c>
      <c r="B28" s="3" t="s">
        <v>172</v>
      </c>
      <c r="C28" s="4">
        <v>32034</v>
      </c>
      <c r="D28" s="3" t="s">
        <v>49</v>
      </c>
      <c r="E28" s="3" t="s">
        <v>173</v>
      </c>
      <c r="F28" s="3" t="s">
        <v>99</v>
      </c>
      <c r="G28" s="2" t="str">
        <f>IFERROR(VLOOKUP(B28,Sanctions_PEP!$A$2:$C$11,3,FALSE),"No Match")</f>
        <v>No Match</v>
      </c>
    </row>
    <row r="29" spans="1:7" ht="33.75" thickBot="1" x14ac:dyDescent="0.35">
      <c r="A29" s="3" t="s">
        <v>174</v>
      </c>
      <c r="B29" s="3" t="s">
        <v>175</v>
      </c>
      <c r="C29" s="4">
        <v>36108</v>
      </c>
      <c r="D29" s="3" t="s">
        <v>49</v>
      </c>
      <c r="E29" s="3" t="s">
        <v>102</v>
      </c>
      <c r="F29" s="3" t="s">
        <v>62</v>
      </c>
      <c r="G29" s="2" t="str">
        <f>IFERROR(VLOOKUP(B29,Sanctions_PEP!$A$2:$C$11,3,FALSE),"No Match")</f>
        <v>No Match</v>
      </c>
    </row>
    <row r="30" spans="1:7" ht="17.25" thickBot="1" x14ac:dyDescent="0.35">
      <c r="A30" s="3" t="s">
        <v>176</v>
      </c>
      <c r="B30" s="3" t="s">
        <v>177</v>
      </c>
      <c r="C30" s="4">
        <v>28998</v>
      </c>
      <c r="D30" s="3" t="s">
        <v>49</v>
      </c>
      <c r="E30" s="3" t="s">
        <v>107</v>
      </c>
      <c r="F30" s="3" t="s">
        <v>53</v>
      </c>
      <c r="G30" s="2" t="str">
        <f>IFERROR(VLOOKUP(B30,Sanctions_PEP!$A$2:$C$11,3,FALSE),"No Match")</f>
        <v>No Match</v>
      </c>
    </row>
    <row r="31" spans="1:7" ht="17.25" thickBot="1" x14ac:dyDescent="0.35">
      <c r="A31" s="3" t="s">
        <v>178</v>
      </c>
      <c r="B31" s="3" t="s">
        <v>179</v>
      </c>
      <c r="C31" s="4">
        <v>32285</v>
      </c>
      <c r="D31" s="3" t="s">
        <v>48</v>
      </c>
      <c r="E31" s="3" t="s">
        <v>35</v>
      </c>
      <c r="F31" s="3" t="s">
        <v>51</v>
      </c>
      <c r="G31" s="2" t="str">
        <f>IFERROR(VLOOKUP(B31,Sanctions_PEP!$A$2:$C$11,3,FALSE),"No Match")</f>
        <v>No Match</v>
      </c>
    </row>
    <row r="32" spans="1:7" ht="17.25" thickBot="1" x14ac:dyDescent="0.35">
      <c r="A32" s="3" t="s">
        <v>180</v>
      </c>
      <c r="B32" s="3" t="s">
        <v>181</v>
      </c>
      <c r="C32" s="4">
        <v>35111</v>
      </c>
      <c r="D32" s="3" t="s">
        <v>49</v>
      </c>
      <c r="E32" s="3" t="s">
        <v>102</v>
      </c>
      <c r="F32" s="3" t="s">
        <v>111</v>
      </c>
      <c r="G32" s="2" t="str">
        <f>IFERROR(VLOOKUP(B32,Sanctions_PEP!$A$2:$C$11,3,FALSE),"No Match")</f>
        <v>No Match</v>
      </c>
    </row>
    <row r="33" spans="1:7" ht="33.75" thickBot="1" x14ac:dyDescent="0.35">
      <c r="A33" s="3" t="s">
        <v>182</v>
      </c>
      <c r="B33" s="3" t="s">
        <v>183</v>
      </c>
      <c r="C33" s="4">
        <v>34396</v>
      </c>
      <c r="D33" s="3" t="s">
        <v>49</v>
      </c>
      <c r="E33" s="3" t="s">
        <v>30</v>
      </c>
      <c r="F33" s="3" t="s">
        <v>65</v>
      </c>
      <c r="G33" s="2" t="str">
        <f>IFERROR(VLOOKUP(B33,Sanctions_PEP!$A$2:$C$11,3,FALSE),"No Match")</f>
        <v>No Match</v>
      </c>
    </row>
    <row r="34" spans="1:7" ht="17.25" thickBot="1" x14ac:dyDescent="0.35">
      <c r="A34" s="3" t="s">
        <v>184</v>
      </c>
      <c r="B34" s="3" t="s">
        <v>185</v>
      </c>
      <c r="C34" s="4">
        <v>40421</v>
      </c>
      <c r="D34" s="3" t="s">
        <v>48</v>
      </c>
      <c r="E34" s="3" t="s">
        <v>186</v>
      </c>
      <c r="F34" s="3" t="s">
        <v>59</v>
      </c>
      <c r="G34" s="2" t="str">
        <f>IFERROR(VLOOKUP(B34,Sanctions_PEP!$A$2:$C$11,3,FALSE),"No Match")</f>
        <v>No Match</v>
      </c>
    </row>
    <row r="35" spans="1:7" ht="33.75" thickBot="1" x14ac:dyDescent="0.35">
      <c r="A35" s="3" t="s">
        <v>187</v>
      </c>
      <c r="B35" s="3" t="s">
        <v>188</v>
      </c>
      <c r="C35" s="4">
        <v>30708</v>
      </c>
      <c r="D35" s="3" t="s">
        <v>48</v>
      </c>
      <c r="E35" s="3" t="s">
        <v>9</v>
      </c>
      <c r="F35" s="3" t="s">
        <v>99</v>
      </c>
      <c r="G35" s="2" t="str">
        <f>IFERROR(VLOOKUP(B35,Sanctions_PEP!$A$2:$C$11,3,FALSE),"No Match")</f>
        <v>No Match</v>
      </c>
    </row>
    <row r="36" spans="1:7" ht="17.25" thickBot="1" x14ac:dyDescent="0.35">
      <c r="A36" s="3" t="s">
        <v>189</v>
      </c>
      <c r="B36" s="3" t="s">
        <v>190</v>
      </c>
      <c r="C36" s="4">
        <v>21071</v>
      </c>
      <c r="D36" s="3" t="s">
        <v>49</v>
      </c>
      <c r="E36" s="3" t="s">
        <v>88</v>
      </c>
      <c r="F36" s="3" t="s">
        <v>191</v>
      </c>
      <c r="G36" s="2" t="str">
        <f>IFERROR(VLOOKUP(B36,Sanctions_PEP!$A$2:$C$11,3,FALSE),"No Match")</f>
        <v>No Match</v>
      </c>
    </row>
    <row r="37" spans="1:7" ht="33.75" thickBot="1" x14ac:dyDescent="0.35">
      <c r="A37" s="3" t="s">
        <v>192</v>
      </c>
      <c r="B37" s="3" t="s">
        <v>193</v>
      </c>
      <c r="C37" s="4">
        <v>41063</v>
      </c>
      <c r="D37" s="3" t="s">
        <v>48</v>
      </c>
      <c r="E37" s="3" t="s">
        <v>25</v>
      </c>
      <c r="F37" s="3" t="s">
        <v>59</v>
      </c>
      <c r="G37" s="2" t="str">
        <f>IFERROR(VLOOKUP(B37,Sanctions_PEP!$A$2:$C$11,3,FALSE),"No Match")</f>
        <v>No Match</v>
      </c>
    </row>
    <row r="38" spans="1:7" ht="17.25" thickBot="1" x14ac:dyDescent="0.35">
      <c r="A38" s="3" t="s">
        <v>194</v>
      </c>
      <c r="B38" s="3" t="s">
        <v>195</v>
      </c>
      <c r="C38" s="4">
        <v>33622</v>
      </c>
      <c r="D38" s="3" t="s">
        <v>48</v>
      </c>
      <c r="E38" s="3" t="s">
        <v>164</v>
      </c>
      <c r="F38" s="3" t="s">
        <v>52</v>
      </c>
      <c r="G38" s="2" t="str">
        <f>IFERROR(VLOOKUP(B38,Sanctions_PEP!$A$2:$C$11,3,FALSE),"No Match")</f>
        <v>No Match</v>
      </c>
    </row>
    <row r="39" spans="1:7" ht="17.25" thickBot="1" x14ac:dyDescent="0.35">
      <c r="A39" s="3" t="s">
        <v>196</v>
      </c>
      <c r="B39" s="3" t="s">
        <v>197</v>
      </c>
      <c r="C39" s="4">
        <v>29666</v>
      </c>
      <c r="D39" s="3" t="s">
        <v>48</v>
      </c>
      <c r="E39" s="3" t="s">
        <v>116</v>
      </c>
      <c r="F39" s="3" t="s">
        <v>111</v>
      </c>
      <c r="G39" s="2" t="str">
        <f>IFERROR(VLOOKUP(B39,Sanctions_PEP!$A$2:$C$11,3,FALSE),"No Match")</f>
        <v>No Match</v>
      </c>
    </row>
    <row r="40" spans="1:7" ht="17.25" thickBot="1" x14ac:dyDescent="0.35">
      <c r="A40" s="3" t="s">
        <v>198</v>
      </c>
      <c r="B40" s="3" t="s">
        <v>199</v>
      </c>
      <c r="C40" s="4">
        <v>23244</v>
      </c>
      <c r="D40" s="3" t="s">
        <v>48</v>
      </c>
      <c r="E40" s="3" t="s">
        <v>30</v>
      </c>
      <c r="F40" s="3" t="s">
        <v>62</v>
      </c>
      <c r="G40" s="2" t="str">
        <f>IFERROR(VLOOKUP(B40,Sanctions_PEP!$A$2:$C$11,3,FALSE),"No Match")</f>
        <v>No Match</v>
      </c>
    </row>
    <row r="41" spans="1:7" ht="17.25" thickBot="1" x14ac:dyDescent="0.35">
      <c r="A41" s="3" t="s">
        <v>200</v>
      </c>
      <c r="B41" s="3" t="s">
        <v>201</v>
      </c>
      <c r="C41" s="4">
        <v>43546</v>
      </c>
      <c r="D41" s="3" t="s">
        <v>48</v>
      </c>
      <c r="E41" s="3" t="s">
        <v>173</v>
      </c>
      <c r="F41" s="3" t="s">
        <v>59</v>
      </c>
      <c r="G41" s="2" t="str">
        <f>IFERROR(VLOOKUP(B41,Sanctions_PEP!$A$2:$C$11,3,FALSE),"No Match")</f>
        <v>No Match</v>
      </c>
    </row>
    <row r="42" spans="1:7" ht="17.25" thickBot="1" x14ac:dyDescent="0.35">
      <c r="A42" s="3" t="s">
        <v>202</v>
      </c>
      <c r="B42" s="3" t="s">
        <v>203</v>
      </c>
      <c r="C42" s="4">
        <v>25134</v>
      </c>
      <c r="D42" s="3" t="s">
        <v>48</v>
      </c>
      <c r="E42" s="3" t="s">
        <v>98</v>
      </c>
      <c r="F42" s="3" t="s">
        <v>58</v>
      </c>
      <c r="G42" s="2" t="str">
        <f>IFERROR(VLOOKUP(B42,Sanctions_PEP!$A$2:$C$11,3,FALSE),"No Match")</f>
        <v>No Match</v>
      </c>
    </row>
    <row r="43" spans="1:7" ht="17.25" thickBot="1" x14ac:dyDescent="0.35">
      <c r="A43" s="3" t="s">
        <v>204</v>
      </c>
      <c r="B43" s="3" t="s">
        <v>205</v>
      </c>
      <c r="C43" s="4">
        <v>21267</v>
      </c>
      <c r="D43" s="3" t="s">
        <v>49</v>
      </c>
      <c r="E43" s="3" t="s">
        <v>30</v>
      </c>
      <c r="F43" s="3" t="s">
        <v>81</v>
      </c>
      <c r="G43" s="2" t="str">
        <f>IFERROR(VLOOKUP(B43,Sanctions_PEP!$A$2:$C$11,3,FALSE),"No Match")</f>
        <v>No Match</v>
      </c>
    </row>
    <row r="44" spans="1:7" ht="17.25" thickBot="1" x14ac:dyDescent="0.35">
      <c r="A44" s="3" t="s">
        <v>206</v>
      </c>
      <c r="B44" s="3" t="s">
        <v>207</v>
      </c>
      <c r="C44" s="4">
        <v>28151</v>
      </c>
      <c r="D44" s="3" t="s">
        <v>48</v>
      </c>
      <c r="E44" s="3" t="s">
        <v>88</v>
      </c>
      <c r="F44" s="3" t="s">
        <v>55</v>
      </c>
      <c r="G44" s="2" t="str">
        <f>IFERROR(VLOOKUP(B44,Sanctions_PEP!$A$2:$C$11,3,FALSE),"No Match")</f>
        <v>No Match</v>
      </c>
    </row>
    <row r="45" spans="1:7" ht="17.25" thickBot="1" x14ac:dyDescent="0.35">
      <c r="A45" s="3" t="s">
        <v>208</v>
      </c>
      <c r="B45" s="3" t="s">
        <v>209</v>
      </c>
      <c r="C45" s="4">
        <v>27636</v>
      </c>
      <c r="D45" s="3" t="s">
        <v>48</v>
      </c>
      <c r="E45" s="3" t="s">
        <v>72</v>
      </c>
      <c r="F45" s="3" t="s">
        <v>57</v>
      </c>
      <c r="G45" s="2" t="str">
        <f>IFERROR(VLOOKUP(B45,Sanctions_PEP!$A$2:$C$11,3,FALSE),"No Match")</f>
        <v>No Match</v>
      </c>
    </row>
    <row r="46" spans="1:7" ht="17.25" thickBot="1" x14ac:dyDescent="0.35">
      <c r="A46" s="3" t="s">
        <v>210</v>
      </c>
      <c r="B46" s="3" t="s">
        <v>211</v>
      </c>
      <c r="C46" s="4">
        <v>33569</v>
      </c>
      <c r="D46" s="3" t="s">
        <v>49</v>
      </c>
      <c r="E46" s="3" t="s">
        <v>43</v>
      </c>
      <c r="F46" s="3" t="s">
        <v>212</v>
      </c>
      <c r="G46" s="2" t="str">
        <f>IFERROR(VLOOKUP(B46,Sanctions_PEP!$A$2:$C$11,3,FALSE),"No Match")</f>
        <v>No Match</v>
      </c>
    </row>
    <row r="47" spans="1:7" ht="17.25" thickBot="1" x14ac:dyDescent="0.35">
      <c r="A47" s="3" t="s">
        <v>213</v>
      </c>
      <c r="B47" s="3" t="s">
        <v>214</v>
      </c>
      <c r="C47" s="4">
        <v>34925</v>
      </c>
      <c r="D47" s="3" t="s">
        <v>50</v>
      </c>
      <c r="E47" s="3" t="s">
        <v>22</v>
      </c>
      <c r="F47" s="3" t="s">
        <v>53</v>
      </c>
      <c r="G47" s="2" t="str">
        <f>IFERROR(VLOOKUP(B47,Sanctions_PEP!$A$2:$C$11,3,FALSE),"No Match")</f>
        <v>No Match</v>
      </c>
    </row>
    <row r="48" spans="1:7" ht="17.25" thickBot="1" x14ac:dyDescent="0.35">
      <c r="A48" s="3" t="s">
        <v>215</v>
      </c>
      <c r="B48" s="3" t="s">
        <v>216</v>
      </c>
      <c r="C48" s="4">
        <v>31749</v>
      </c>
      <c r="D48" s="3" t="s">
        <v>49</v>
      </c>
      <c r="E48" s="3" t="s">
        <v>35</v>
      </c>
      <c r="F48" s="3" t="s">
        <v>54</v>
      </c>
      <c r="G48" s="2" t="str">
        <f>IFERROR(VLOOKUP(B48,Sanctions_PEP!$A$2:$C$11,3,FALSE),"No Match")</f>
        <v>No Match</v>
      </c>
    </row>
    <row r="49" spans="1:7" ht="33.75" thickBot="1" x14ac:dyDescent="0.35">
      <c r="A49" s="3" t="s">
        <v>217</v>
      </c>
      <c r="B49" s="3" t="s">
        <v>218</v>
      </c>
      <c r="C49" s="4">
        <v>29360</v>
      </c>
      <c r="D49" s="3" t="s">
        <v>48</v>
      </c>
      <c r="E49" s="3" t="s">
        <v>25</v>
      </c>
      <c r="F49" s="3" t="s">
        <v>117</v>
      </c>
      <c r="G49" s="2" t="str">
        <f>IFERROR(VLOOKUP(B49,Sanctions_PEP!$A$2:$C$11,3,FALSE),"No Match")</f>
        <v>No Match</v>
      </c>
    </row>
    <row r="50" spans="1:7" ht="17.25" thickBot="1" x14ac:dyDescent="0.35">
      <c r="A50" s="3" t="s">
        <v>219</v>
      </c>
      <c r="B50" s="3" t="s">
        <v>220</v>
      </c>
      <c r="C50" s="4">
        <v>37347</v>
      </c>
      <c r="D50" s="3" t="s">
        <v>48</v>
      </c>
      <c r="E50" s="3" t="s">
        <v>88</v>
      </c>
      <c r="F50" s="3" t="s">
        <v>59</v>
      </c>
      <c r="G50" s="2" t="str">
        <f>IFERROR(VLOOKUP(B50,Sanctions_PEP!$A$2:$C$11,3,FALSE),"No Match")</f>
        <v>No Match</v>
      </c>
    </row>
    <row r="51" spans="1:7" ht="18" thickBot="1" x14ac:dyDescent="0.4">
      <c r="A51" s="3" t="s">
        <v>221</v>
      </c>
      <c r="B51" s="3" t="s">
        <v>130</v>
      </c>
      <c r="C51" s="4">
        <v>35152</v>
      </c>
      <c r="D51" s="3" t="s">
        <v>49</v>
      </c>
      <c r="E51" s="3" t="s">
        <v>30</v>
      </c>
      <c r="F51" s="3" t="s">
        <v>61</v>
      </c>
      <c r="G51" s="10" t="str">
        <f>IFERROR(VLOOKUP(B51,Sanctions_PEP!$A$2:$C$11,3,FALSE),"No Match")</f>
        <v>Sanctions</v>
      </c>
    </row>
    <row r="52" spans="1:7" ht="17.25" thickBot="1" x14ac:dyDescent="0.35">
      <c r="A52" s="3" t="s">
        <v>222</v>
      </c>
      <c r="B52" s="3" t="s">
        <v>223</v>
      </c>
      <c r="C52" s="4">
        <v>26722</v>
      </c>
      <c r="D52" s="3" t="s">
        <v>48</v>
      </c>
      <c r="E52" s="3" t="s">
        <v>154</v>
      </c>
      <c r="F52" s="3" t="s">
        <v>52</v>
      </c>
      <c r="G52" s="2" t="str">
        <f>IFERROR(VLOOKUP(B52,Sanctions_PEP!$A$2:$C$11,3,FALSE),"No Match")</f>
        <v>No Match</v>
      </c>
    </row>
    <row r="53" spans="1:7" ht="17.25" thickBot="1" x14ac:dyDescent="0.35">
      <c r="A53" s="3" t="s">
        <v>224</v>
      </c>
      <c r="B53" s="3" t="s">
        <v>225</v>
      </c>
      <c r="C53" s="4">
        <v>20870</v>
      </c>
      <c r="D53" s="3" t="s">
        <v>50</v>
      </c>
      <c r="E53" s="3" t="s">
        <v>226</v>
      </c>
      <c r="F53" s="3" t="s">
        <v>65</v>
      </c>
      <c r="G53" s="2" t="str">
        <f>IFERROR(VLOOKUP(B53,Sanctions_PEP!$A$2:$C$11,3,FALSE),"No Match")</f>
        <v>No Match</v>
      </c>
    </row>
    <row r="54" spans="1:7" ht="17.25" thickBot="1" x14ac:dyDescent="0.35">
      <c r="A54" s="3" t="s">
        <v>227</v>
      </c>
      <c r="B54" s="3" t="s">
        <v>228</v>
      </c>
      <c r="C54" s="4">
        <v>36045</v>
      </c>
      <c r="D54" s="3" t="s">
        <v>48</v>
      </c>
      <c r="E54" s="3" t="s">
        <v>98</v>
      </c>
      <c r="F54" s="3" t="s">
        <v>62</v>
      </c>
      <c r="G54" s="2" t="str">
        <f>IFERROR(VLOOKUP(B54,Sanctions_PEP!$A$2:$C$11,3,FALSE),"No Match")</f>
        <v>No Match</v>
      </c>
    </row>
    <row r="55" spans="1:7" ht="33.75" thickBot="1" x14ac:dyDescent="0.35">
      <c r="A55" s="3" t="s">
        <v>229</v>
      </c>
      <c r="B55" s="3" t="s">
        <v>230</v>
      </c>
      <c r="C55" s="4">
        <v>34010</v>
      </c>
      <c r="D55" s="3" t="s">
        <v>49</v>
      </c>
      <c r="E55" s="3" t="s">
        <v>122</v>
      </c>
      <c r="F55" s="3" t="s">
        <v>56</v>
      </c>
      <c r="G55" s="2" t="str">
        <f>IFERROR(VLOOKUP(B55,Sanctions_PEP!$A$2:$C$11,3,FALSE),"No Match")</f>
        <v>No Match</v>
      </c>
    </row>
    <row r="56" spans="1:7" ht="18" thickBot="1" x14ac:dyDescent="0.4">
      <c r="A56" s="3" t="s">
        <v>231</v>
      </c>
      <c r="B56" s="3" t="s">
        <v>134</v>
      </c>
      <c r="C56" s="4">
        <v>31272</v>
      </c>
      <c r="D56" s="3" t="s">
        <v>48</v>
      </c>
      <c r="E56" s="3" t="s">
        <v>102</v>
      </c>
      <c r="F56" s="3" t="s">
        <v>58</v>
      </c>
      <c r="G56" s="10" t="str">
        <f>IFERROR(VLOOKUP(B56,Sanctions_PEP!$A$2:$C$11,3,FALSE),"No Match")</f>
        <v>PEP</v>
      </c>
    </row>
    <row r="57" spans="1:7" ht="17.25" thickBot="1" x14ac:dyDescent="0.35">
      <c r="A57" s="3" t="s">
        <v>232</v>
      </c>
      <c r="B57" s="3" t="s">
        <v>233</v>
      </c>
      <c r="C57" s="4">
        <v>32950</v>
      </c>
      <c r="D57" s="3" t="s">
        <v>48</v>
      </c>
      <c r="E57" s="3" t="s">
        <v>116</v>
      </c>
      <c r="F57" s="3" t="s">
        <v>57</v>
      </c>
      <c r="G57" s="2" t="str">
        <f>IFERROR(VLOOKUP(B57,Sanctions_PEP!$A$2:$C$11,3,FALSE),"No Match")</f>
        <v>No Match</v>
      </c>
    </row>
    <row r="58" spans="1:7" ht="17.25" thickBot="1" x14ac:dyDescent="0.35">
      <c r="A58" s="3" t="s">
        <v>234</v>
      </c>
      <c r="B58" s="3" t="s">
        <v>235</v>
      </c>
      <c r="C58" s="4">
        <v>32021</v>
      </c>
      <c r="D58" s="3" t="s">
        <v>49</v>
      </c>
      <c r="E58" s="3" t="s">
        <v>35</v>
      </c>
      <c r="F58" s="3" t="s">
        <v>236</v>
      </c>
      <c r="G58" s="2" t="str">
        <f>IFERROR(VLOOKUP(B58,Sanctions_PEP!$A$2:$C$11,3,FALSE),"No Match")</f>
        <v>No Match</v>
      </c>
    </row>
    <row r="59" spans="1:7" ht="33.75" thickBot="1" x14ac:dyDescent="0.35">
      <c r="A59" s="3" t="s">
        <v>237</v>
      </c>
      <c r="B59" s="3" t="s">
        <v>238</v>
      </c>
      <c r="C59" s="4">
        <v>29203</v>
      </c>
      <c r="D59" s="3" t="s">
        <v>49</v>
      </c>
      <c r="E59" s="3" t="s">
        <v>102</v>
      </c>
      <c r="F59" s="3" t="s">
        <v>69</v>
      </c>
      <c r="G59" s="2" t="str">
        <f>IFERROR(VLOOKUP(B59,Sanctions_PEP!$A$2:$C$11,3,FALSE),"No Match")</f>
        <v>No Match</v>
      </c>
    </row>
    <row r="60" spans="1:7" ht="33.75" thickBot="1" x14ac:dyDescent="0.35">
      <c r="A60" s="3" t="s">
        <v>239</v>
      </c>
      <c r="B60" s="3" t="s">
        <v>240</v>
      </c>
      <c r="C60" s="4">
        <v>31515</v>
      </c>
      <c r="D60" s="3" t="s">
        <v>48</v>
      </c>
      <c r="E60" s="3" t="s">
        <v>241</v>
      </c>
      <c r="F60" s="3" t="s">
        <v>54</v>
      </c>
      <c r="G60" s="2" t="str">
        <f>IFERROR(VLOOKUP(B60,Sanctions_PEP!$A$2:$C$11,3,FALSE),"No Match")</f>
        <v>No Match</v>
      </c>
    </row>
    <row r="61" spans="1:7" ht="17.25" thickBot="1" x14ac:dyDescent="0.35">
      <c r="A61" s="3" t="s">
        <v>242</v>
      </c>
      <c r="B61" s="3" t="s">
        <v>243</v>
      </c>
      <c r="C61" s="4">
        <v>40984</v>
      </c>
      <c r="D61" s="3" t="s">
        <v>48</v>
      </c>
      <c r="E61" s="3" t="s">
        <v>43</v>
      </c>
      <c r="F61" s="3" t="s">
        <v>59</v>
      </c>
      <c r="G61" s="2" t="str">
        <f>IFERROR(VLOOKUP(B61,Sanctions_PEP!$A$2:$C$11,3,FALSE),"No Match")</f>
        <v>No Match</v>
      </c>
    </row>
    <row r="62" spans="1:7" ht="17.25" thickBot="1" x14ac:dyDescent="0.35">
      <c r="A62" s="3" t="s">
        <v>244</v>
      </c>
      <c r="B62" s="3" t="s">
        <v>245</v>
      </c>
      <c r="C62" s="4">
        <v>28691</v>
      </c>
      <c r="D62" s="3" t="s">
        <v>48</v>
      </c>
      <c r="E62" s="3" t="s">
        <v>16</v>
      </c>
      <c r="F62" s="3" t="s">
        <v>51</v>
      </c>
      <c r="G62" s="2" t="str">
        <f>IFERROR(VLOOKUP(B62,Sanctions_PEP!$A$2:$C$11,3,FALSE),"No Match")</f>
        <v>No Match</v>
      </c>
    </row>
    <row r="63" spans="1:7" ht="33.75" thickBot="1" x14ac:dyDescent="0.35">
      <c r="A63" s="3" t="s">
        <v>246</v>
      </c>
      <c r="B63" s="3" t="s">
        <v>247</v>
      </c>
      <c r="C63" s="4">
        <v>22307</v>
      </c>
      <c r="D63" s="3" t="s">
        <v>49</v>
      </c>
      <c r="E63" s="3" t="s">
        <v>153</v>
      </c>
      <c r="F63" s="3" t="s">
        <v>56</v>
      </c>
      <c r="G63" s="2" t="str">
        <f>IFERROR(VLOOKUP(B63,Sanctions_PEP!$A$2:$C$11,3,FALSE),"No Match")</f>
        <v>No Match</v>
      </c>
    </row>
    <row r="64" spans="1:7" ht="17.25" thickBot="1" x14ac:dyDescent="0.35">
      <c r="A64" s="3" t="s">
        <v>248</v>
      </c>
      <c r="B64" s="3" t="s">
        <v>249</v>
      </c>
      <c r="C64" s="4">
        <v>30635</v>
      </c>
      <c r="D64" s="3" t="s">
        <v>49</v>
      </c>
      <c r="E64" s="3" t="s">
        <v>19</v>
      </c>
      <c r="F64" s="3" t="s">
        <v>51</v>
      </c>
      <c r="G64" s="2" t="str">
        <f>IFERROR(VLOOKUP(B64,Sanctions_PEP!$A$2:$C$11,3,FALSE),"No Match")</f>
        <v>No Match</v>
      </c>
    </row>
    <row r="65" spans="1:7" ht="18" thickBot="1" x14ac:dyDescent="0.4">
      <c r="A65" s="3" t="s">
        <v>250</v>
      </c>
      <c r="B65" s="3" t="s">
        <v>131</v>
      </c>
      <c r="C65" s="4">
        <v>31188</v>
      </c>
      <c r="D65" s="3" t="s">
        <v>48</v>
      </c>
      <c r="E65" s="3" t="s">
        <v>88</v>
      </c>
      <c r="F65" s="3" t="s">
        <v>60</v>
      </c>
      <c r="G65" s="11" t="str">
        <f>IFERROR(VLOOKUP(B65,Sanctions_PEP!$A$2:$C$11,3,FALSE),"No Match")</f>
        <v>PEP</v>
      </c>
    </row>
    <row r="66" spans="1:7" ht="17.25" thickBot="1" x14ac:dyDescent="0.35">
      <c r="A66" s="3" t="s">
        <v>251</v>
      </c>
      <c r="B66" s="3" t="s">
        <v>252</v>
      </c>
      <c r="C66" s="4">
        <v>27913</v>
      </c>
      <c r="D66" s="3" t="s">
        <v>49</v>
      </c>
      <c r="E66" s="3" t="s">
        <v>16</v>
      </c>
      <c r="F66" s="3" t="s">
        <v>89</v>
      </c>
      <c r="G66" s="2" t="str">
        <f>IFERROR(VLOOKUP(B66,Sanctions_PEP!$A$2:$C$11,3,FALSE),"No Match")</f>
        <v>No Match</v>
      </c>
    </row>
    <row r="67" spans="1:7" ht="17.25" thickBot="1" x14ac:dyDescent="0.35">
      <c r="A67" s="3" t="s">
        <v>253</v>
      </c>
      <c r="B67" s="3" t="s">
        <v>254</v>
      </c>
      <c r="C67" s="4">
        <v>35815</v>
      </c>
      <c r="D67" s="3" t="s">
        <v>50</v>
      </c>
      <c r="E67" s="3" t="s">
        <v>164</v>
      </c>
      <c r="F67" s="3" t="s">
        <v>255</v>
      </c>
      <c r="G67" s="2" t="str">
        <f>IFERROR(VLOOKUP(B67,Sanctions_PEP!$A$2:$C$11,3,FALSE),"No Match")</f>
        <v>No Match</v>
      </c>
    </row>
    <row r="68" spans="1:7" ht="17.25" thickBot="1" x14ac:dyDescent="0.35">
      <c r="A68" s="3" t="s">
        <v>256</v>
      </c>
      <c r="B68" s="3" t="s">
        <v>257</v>
      </c>
      <c r="C68" s="4">
        <v>39347</v>
      </c>
      <c r="D68" s="3" t="s">
        <v>48</v>
      </c>
      <c r="E68" s="3" t="s">
        <v>107</v>
      </c>
      <c r="F68" s="3" t="s">
        <v>59</v>
      </c>
      <c r="G68" s="2" t="str">
        <f>IFERROR(VLOOKUP(B68,Sanctions_PEP!$A$2:$C$11,3,FALSE),"No Match")</f>
        <v>No Match</v>
      </c>
    </row>
    <row r="69" spans="1:7" ht="17.25" thickBot="1" x14ac:dyDescent="0.35">
      <c r="A69" s="3" t="s">
        <v>258</v>
      </c>
      <c r="B69" s="3" t="s">
        <v>259</v>
      </c>
      <c r="C69" s="4">
        <v>35344</v>
      </c>
      <c r="D69" s="3" t="s">
        <v>49</v>
      </c>
      <c r="E69" s="3" t="s">
        <v>164</v>
      </c>
      <c r="F69" s="3" t="s">
        <v>51</v>
      </c>
      <c r="G69" s="2" t="str">
        <f>IFERROR(VLOOKUP(B69,Sanctions_PEP!$A$2:$C$11,3,FALSE),"No Match")</f>
        <v>No Match</v>
      </c>
    </row>
    <row r="70" spans="1:7" ht="17.25" thickBot="1" x14ac:dyDescent="0.35">
      <c r="A70" s="3" t="s">
        <v>260</v>
      </c>
      <c r="B70" s="3" t="s">
        <v>261</v>
      </c>
      <c r="C70" s="4">
        <v>24904</v>
      </c>
      <c r="D70" s="3" t="s">
        <v>48</v>
      </c>
      <c r="E70" s="3" t="s">
        <v>160</v>
      </c>
      <c r="F70" s="3" t="s">
        <v>157</v>
      </c>
      <c r="G70" s="2" t="str">
        <f>IFERROR(VLOOKUP(B70,Sanctions_PEP!$A$2:$C$11,3,FALSE),"No Match")</f>
        <v>No Match</v>
      </c>
    </row>
    <row r="71" spans="1:7" ht="33.75" thickBot="1" x14ac:dyDescent="0.35">
      <c r="A71" s="3" t="s">
        <v>262</v>
      </c>
      <c r="B71" s="3" t="s">
        <v>263</v>
      </c>
      <c r="C71" s="4">
        <v>21582</v>
      </c>
      <c r="D71" s="3" t="s">
        <v>49</v>
      </c>
      <c r="E71" s="3" t="s">
        <v>16</v>
      </c>
      <c r="F71" s="3" t="s">
        <v>73</v>
      </c>
      <c r="G71" s="2" t="str">
        <f>IFERROR(VLOOKUP(B71,Sanctions_PEP!$A$2:$C$11,3,FALSE),"No Match")</f>
        <v>No Match</v>
      </c>
    </row>
    <row r="72" spans="1:7" ht="17.25" thickBot="1" x14ac:dyDescent="0.35">
      <c r="A72" s="3" t="s">
        <v>264</v>
      </c>
      <c r="B72" s="3" t="s">
        <v>265</v>
      </c>
      <c r="C72" s="4">
        <v>28971</v>
      </c>
      <c r="D72" s="3" t="s">
        <v>48</v>
      </c>
      <c r="E72" s="3" t="s">
        <v>35</v>
      </c>
      <c r="F72" s="3" t="s">
        <v>157</v>
      </c>
      <c r="G72" s="2" t="str">
        <f>IFERROR(VLOOKUP(B72,Sanctions_PEP!$A$2:$C$11,3,FALSE),"No Match")</f>
        <v>No Match</v>
      </c>
    </row>
    <row r="73" spans="1:7" ht="17.25" thickBot="1" x14ac:dyDescent="0.35">
      <c r="A73" s="3" t="s">
        <v>266</v>
      </c>
      <c r="B73" s="3" t="s">
        <v>267</v>
      </c>
      <c r="C73" s="4">
        <v>40705</v>
      </c>
      <c r="D73" s="3" t="s">
        <v>48</v>
      </c>
      <c r="E73" s="3" t="s">
        <v>19</v>
      </c>
      <c r="F73" s="3" t="s">
        <v>59</v>
      </c>
      <c r="G73" s="2" t="str">
        <f>IFERROR(VLOOKUP(B73,Sanctions_PEP!$A$2:$C$11,3,FALSE),"No Match")</f>
        <v>No Match</v>
      </c>
    </row>
    <row r="74" spans="1:7" ht="17.25" thickBot="1" x14ac:dyDescent="0.35">
      <c r="A74" s="3" t="s">
        <v>268</v>
      </c>
      <c r="B74" s="3" t="s">
        <v>269</v>
      </c>
      <c r="C74" s="4">
        <v>37613</v>
      </c>
      <c r="D74" s="3" t="s">
        <v>49</v>
      </c>
      <c r="E74" s="3" t="s">
        <v>116</v>
      </c>
      <c r="F74" s="3" t="s">
        <v>56</v>
      </c>
      <c r="G74" s="2" t="str">
        <f>IFERROR(VLOOKUP(B74,Sanctions_PEP!$A$2:$C$11,3,FALSE),"No Match")</f>
        <v>No Match</v>
      </c>
    </row>
    <row r="75" spans="1:7" ht="17.25" thickBot="1" x14ac:dyDescent="0.35">
      <c r="A75" s="3" t="s">
        <v>270</v>
      </c>
      <c r="B75" s="3" t="s">
        <v>271</v>
      </c>
      <c r="C75" s="4">
        <v>20091</v>
      </c>
      <c r="D75" s="3" t="s">
        <v>49</v>
      </c>
      <c r="E75" s="3" t="s">
        <v>102</v>
      </c>
      <c r="F75" s="3" t="s">
        <v>191</v>
      </c>
      <c r="G75" s="2" t="str">
        <f>IFERROR(VLOOKUP(B75,Sanctions_PEP!$A$2:$C$11,3,FALSE),"No Match")</f>
        <v>No Match</v>
      </c>
    </row>
    <row r="76" spans="1:7" ht="33.75" thickBot="1" x14ac:dyDescent="0.35">
      <c r="A76" s="3" t="s">
        <v>272</v>
      </c>
      <c r="B76" s="3" t="s">
        <v>273</v>
      </c>
      <c r="C76" s="4">
        <v>33522</v>
      </c>
      <c r="D76" s="3" t="s">
        <v>48</v>
      </c>
      <c r="E76" s="3" t="s">
        <v>76</v>
      </c>
      <c r="F76" s="3" t="s">
        <v>161</v>
      </c>
      <c r="G76" s="2" t="str">
        <f>IFERROR(VLOOKUP(B76,Sanctions_PEP!$A$2:$C$11,3,FALSE),"No Match")</f>
        <v>No Match</v>
      </c>
    </row>
    <row r="77" spans="1:7" ht="17.25" thickBot="1" x14ac:dyDescent="0.35">
      <c r="A77" s="3" t="s">
        <v>274</v>
      </c>
      <c r="B77" s="3" t="s">
        <v>275</v>
      </c>
      <c r="C77" s="4">
        <v>29377</v>
      </c>
      <c r="D77" s="3" t="s">
        <v>48</v>
      </c>
      <c r="E77" s="3" t="s">
        <v>173</v>
      </c>
      <c r="F77" s="3" t="s">
        <v>51</v>
      </c>
      <c r="G77" s="2" t="str">
        <f>IFERROR(VLOOKUP(B77,Sanctions_PEP!$A$2:$C$11,3,FALSE),"No Match")</f>
        <v>No Match</v>
      </c>
    </row>
    <row r="78" spans="1:7" ht="33.75" thickBot="1" x14ac:dyDescent="0.35">
      <c r="A78" s="3" t="s">
        <v>276</v>
      </c>
      <c r="B78" s="3" t="s">
        <v>277</v>
      </c>
      <c r="C78" s="4">
        <v>34594</v>
      </c>
      <c r="D78" s="3" t="s">
        <v>49</v>
      </c>
      <c r="E78" s="3" t="s">
        <v>153</v>
      </c>
      <c r="F78" s="3" t="s">
        <v>77</v>
      </c>
      <c r="G78" s="2" t="str">
        <f>IFERROR(VLOOKUP(B78,Sanctions_PEP!$A$2:$C$11,3,FALSE),"No Match")</f>
        <v>No Match</v>
      </c>
    </row>
    <row r="79" spans="1:7" ht="33.75" thickBot="1" x14ac:dyDescent="0.35">
      <c r="A79" s="3" t="s">
        <v>278</v>
      </c>
      <c r="B79" s="3" t="s">
        <v>279</v>
      </c>
      <c r="C79" s="4">
        <v>41422</v>
      </c>
      <c r="D79" s="3" t="s">
        <v>48</v>
      </c>
      <c r="E79" s="3" t="s">
        <v>30</v>
      </c>
      <c r="F79" s="3" t="s">
        <v>59</v>
      </c>
      <c r="G79" s="2" t="str">
        <f>IFERROR(VLOOKUP(B79,Sanctions_PEP!$A$2:$C$11,3,FALSE),"No Match")</f>
        <v>No Match</v>
      </c>
    </row>
    <row r="80" spans="1:7" ht="17.25" thickBot="1" x14ac:dyDescent="0.35">
      <c r="A80" s="3" t="s">
        <v>280</v>
      </c>
      <c r="B80" s="3" t="s">
        <v>281</v>
      </c>
      <c r="C80" s="4">
        <v>37221</v>
      </c>
      <c r="D80" s="3" t="s">
        <v>48</v>
      </c>
      <c r="E80" s="3" t="s">
        <v>107</v>
      </c>
      <c r="F80" s="3" t="s">
        <v>57</v>
      </c>
      <c r="G80" s="2" t="str">
        <f>IFERROR(VLOOKUP(B80,Sanctions_PEP!$A$2:$C$11,3,FALSE),"No Match")</f>
        <v>No Match</v>
      </c>
    </row>
    <row r="81" spans="1:7" ht="17.25" thickBot="1" x14ac:dyDescent="0.35">
      <c r="A81" s="3" t="s">
        <v>282</v>
      </c>
      <c r="B81" s="3" t="s">
        <v>283</v>
      </c>
      <c r="C81" s="4">
        <v>32244</v>
      </c>
      <c r="D81" s="3" t="s">
        <v>48</v>
      </c>
      <c r="E81" s="3" t="s">
        <v>154</v>
      </c>
      <c r="F81" s="3" t="s">
        <v>62</v>
      </c>
      <c r="G81" s="2" t="str">
        <f>IFERROR(VLOOKUP(B81,Sanctions_PEP!$A$2:$C$11,3,FALSE),"No Match")</f>
        <v>No Match</v>
      </c>
    </row>
    <row r="82" spans="1:7" ht="33.75" thickBot="1" x14ac:dyDescent="0.35">
      <c r="A82" s="3" t="s">
        <v>284</v>
      </c>
      <c r="B82" s="3" t="s">
        <v>285</v>
      </c>
      <c r="C82" s="4">
        <v>35170</v>
      </c>
      <c r="D82" s="3" t="s">
        <v>48</v>
      </c>
      <c r="E82" s="3" t="s">
        <v>13</v>
      </c>
      <c r="F82" s="3" t="s">
        <v>212</v>
      </c>
      <c r="G82" s="2" t="str">
        <f>IFERROR(VLOOKUP(B82,Sanctions_PEP!$A$2:$C$11,3,FALSE),"No Match")</f>
        <v>No Match</v>
      </c>
    </row>
    <row r="83" spans="1:7" ht="17.25" thickBot="1" x14ac:dyDescent="0.35">
      <c r="A83" s="3" t="s">
        <v>286</v>
      </c>
      <c r="B83" s="3" t="s">
        <v>287</v>
      </c>
      <c r="C83" s="4">
        <v>38920</v>
      </c>
      <c r="D83" s="3" t="s">
        <v>48</v>
      </c>
      <c r="E83" s="3" t="s">
        <v>43</v>
      </c>
      <c r="F83" s="3" t="s">
        <v>61</v>
      </c>
      <c r="G83" s="2" t="str">
        <f>IFERROR(VLOOKUP(B83,Sanctions_PEP!$A$2:$C$11,3,FALSE),"No Match")</f>
        <v>No Match</v>
      </c>
    </row>
    <row r="84" spans="1:7" ht="33.75" thickBot="1" x14ac:dyDescent="0.35">
      <c r="A84" s="3" t="s">
        <v>288</v>
      </c>
      <c r="B84" s="3" t="s">
        <v>289</v>
      </c>
      <c r="C84" s="4">
        <v>28409</v>
      </c>
      <c r="D84" s="3" t="s">
        <v>48</v>
      </c>
      <c r="E84" s="3" t="s">
        <v>290</v>
      </c>
      <c r="F84" s="3" t="s">
        <v>69</v>
      </c>
      <c r="G84" s="2" t="str">
        <f>IFERROR(VLOOKUP(B84,Sanctions_PEP!$A$2:$C$11,3,FALSE),"No Match")</f>
        <v>No Match</v>
      </c>
    </row>
    <row r="85" spans="1:7" ht="17.25" thickBot="1" x14ac:dyDescent="0.35">
      <c r="A85" s="3" t="s">
        <v>291</v>
      </c>
      <c r="B85" s="3" t="s">
        <v>292</v>
      </c>
      <c r="C85" s="4">
        <v>28663</v>
      </c>
      <c r="D85" s="3" t="s">
        <v>48</v>
      </c>
      <c r="E85" s="3" t="s">
        <v>116</v>
      </c>
      <c r="F85" s="3" t="s">
        <v>99</v>
      </c>
      <c r="G85" s="2" t="str">
        <f>IFERROR(VLOOKUP(B85,Sanctions_PEP!$A$2:$C$11,3,FALSE),"No Match")</f>
        <v>No Match</v>
      </c>
    </row>
    <row r="86" spans="1:7" ht="33.75" thickBot="1" x14ac:dyDescent="0.35">
      <c r="A86" s="3" t="s">
        <v>293</v>
      </c>
      <c r="B86" s="3" t="s">
        <v>294</v>
      </c>
      <c r="C86" s="4">
        <v>41592</v>
      </c>
      <c r="D86" s="3" t="s">
        <v>49</v>
      </c>
      <c r="E86" s="3" t="s">
        <v>30</v>
      </c>
      <c r="F86" s="3" t="s">
        <v>59</v>
      </c>
      <c r="G86" s="2" t="str">
        <f>IFERROR(VLOOKUP(B86,Sanctions_PEP!$A$2:$C$11,3,FALSE),"No Match")</f>
        <v>No Match</v>
      </c>
    </row>
    <row r="87" spans="1:7" ht="33.75" thickBot="1" x14ac:dyDescent="0.35">
      <c r="A87" s="3" t="s">
        <v>295</v>
      </c>
      <c r="B87" s="3" t="s">
        <v>296</v>
      </c>
      <c r="C87" s="4">
        <v>30246</v>
      </c>
      <c r="D87" s="3" t="s">
        <v>49</v>
      </c>
      <c r="E87" s="3" t="s">
        <v>164</v>
      </c>
      <c r="F87" s="3" t="s">
        <v>54</v>
      </c>
      <c r="G87" s="2" t="str">
        <f>IFERROR(VLOOKUP(B87,Sanctions_PEP!$A$2:$C$11,3,FALSE),"No Match")</f>
        <v>No Match</v>
      </c>
    </row>
    <row r="88" spans="1:7" ht="17.25" thickBot="1" x14ac:dyDescent="0.35">
      <c r="A88" s="3" t="s">
        <v>297</v>
      </c>
      <c r="B88" s="3" t="s">
        <v>298</v>
      </c>
      <c r="C88" s="4">
        <v>21187</v>
      </c>
      <c r="D88" s="3" t="s">
        <v>48</v>
      </c>
      <c r="E88" s="3" t="s">
        <v>19</v>
      </c>
      <c r="F88" s="3" t="s">
        <v>81</v>
      </c>
      <c r="G88" s="2" t="str">
        <f>IFERROR(VLOOKUP(B88,Sanctions_PEP!$A$2:$C$11,3,FALSE),"No Match")</f>
        <v>No Match</v>
      </c>
    </row>
    <row r="89" spans="1:7" ht="17.25" thickBot="1" x14ac:dyDescent="0.35">
      <c r="A89" s="3" t="s">
        <v>299</v>
      </c>
      <c r="B89" s="3" t="s">
        <v>300</v>
      </c>
      <c r="C89" s="4">
        <v>29568</v>
      </c>
      <c r="D89" s="3" t="s">
        <v>49</v>
      </c>
      <c r="E89" s="3" t="s">
        <v>186</v>
      </c>
      <c r="F89" s="3" t="s">
        <v>51</v>
      </c>
      <c r="G89" s="2" t="str">
        <f>IFERROR(VLOOKUP(B89,Sanctions_PEP!$A$2:$C$11,3,FALSE),"No Match")</f>
        <v>No Match</v>
      </c>
    </row>
    <row r="90" spans="1:7" ht="17.25" thickBot="1" x14ac:dyDescent="0.35">
      <c r="A90" s="3" t="s">
        <v>301</v>
      </c>
      <c r="B90" s="3" t="s">
        <v>302</v>
      </c>
      <c r="C90" s="4">
        <v>21969</v>
      </c>
      <c r="D90" s="3" t="s">
        <v>50</v>
      </c>
      <c r="E90" s="3" t="s">
        <v>22</v>
      </c>
      <c r="F90" s="3" t="s">
        <v>255</v>
      </c>
      <c r="G90" s="2" t="str">
        <f>IFERROR(VLOOKUP(B90,Sanctions_PEP!$A$2:$C$11,3,FALSE),"No Match")</f>
        <v>No Match</v>
      </c>
    </row>
    <row r="91" spans="1:7" ht="17.25" thickBot="1" x14ac:dyDescent="0.35">
      <c r="A91" s="3" t="s">
        <v>303</v>
      </c>
      <c r="B91" s="3" t="s">
        <v>304</v>
      </c>
      <c r="C91" s="4">
        <v>22902</v>
      </c>
      <c r="D91" s="3" t="s">
        <v>48</v>
      </c>
      <c r="E91" s="3" t="s">
        <v>154</v>
      </c>
      <c r="F91" s="3" t="s">
        <v>108</v>
      </c>
      <c r="G91" s="2" t="str">
        <f>IFERROR(VLOOKUP(B91,Sanctions_PEP!$A$2:$C$11,3,FALSE),"No Match")</f>
        <v>No Match</v>
      </c>
    </row>
    <row r="92" spans="1:7" ht="17.25" thickBot="1" x14ac:dyDescent="0.35">
      <c r="A92" s="3" t="s">
        <v>305</v>
      </c>
      <c r="B92" s="3" t="s">
        <v>306</v>
      </c>
      <c r="C92" s="4">
        <v>30066</v>
      </c>
      <c r="D92" s="3" t="s">
        <v>48</v>
      </c>
      <c r="E92" s="3" t="s">
        <v>80</v>
      </c>
      <c r="F92" s="3" t="s">
        <v>57</v>
      </c>
      <c r="G92" s="2" t="str">
        <f>IFERROR(VLOOKUP(B92,Sanctions_PEP!$A$2:$C$11,3,FALSE),"No Match")</f>
        <v>No Match</v>
      </c>
    </row>
    <row r="93" spans="1:7" ht="17.25" thickBot="1" x14ac:dyDescent="0.35">
      <c r="A93" s="3" t="s">
        <v>307</v>
      </c>
      <c r="B93" s="3" t="s">
        <v>308</v>
      </c>
      <c r="C93" s="4">
        <v>20932</v>
      </c>
      <c r="D93" s="3" t="s">
        <v>48</v>
      </c>
      <c r="E93" s="3" t="s">
        <v>30</v>
      </c>
      <c r="F93" s="3" t="s">
        <v>81</v>
      </c>
      <c r="G93" s="2" t="str">
        <f>IFERROR(VLOOKUP(B93,Sanctions_PEP!$A$2:$C$11,3,FALSE),"No Match")</f>
        <v>No Match</v>
      </c>
    </row>
    <row r="94" spans="1:7" ht="17.25" thickBot="1" x14ac:dyDescent="0.35">
      <c r="A94" s="3" t="s">
        <v>309</v>
      </c>
      <c r="B94" s="3" t="s">
        <v>310</v>
      </c>
      <c r="C94" s="4">
        <v>24012</v>
      </c>
      <c r="D94" s="3" t="s">
        <v>50</v>
      </c>
      <c r="E94" s="3" t="s">
        <v>311</v>
      </c>
      <c r="F94" s="3" t="s">
        <v>117</v>
      </c>
      <c r="G94" s="2" t="str">
        <f>IFERROR(VLOOKUP(B94,Sanctions_PEP!$A$2:$C$11,3,FALSE),"No Match")</f>
        <v>No Match</v>
      </c>
    </row>
    <row r="95" spans="1:7" ht="17.25" thickBot="1" x14ac:dyDescent="0.35">
      <c r="A95" s="3" t="s">
        <v>312</v>
      </c>
      <c r="B95" s="3" t="s">
        <v>313</v>
      </c>
      <c r="C95" s="4">
        <v>32741</v>
      </c>
      <c r="D95" s="3" t="s">
        <v>48</v>
      </c>
      <c r="E95" s="3" t="s">
        <v>102</v>
      </c>
      <c r="F95" s="3" t="s">
        <v>212</v>
      </c>
      <c r="G95" s="2" t="str">
        <f>IFERROR(VLOOKUP(B95,Sanctions_PEP!$A$2:$C$11,3,FALSE),"No Match")</f>
        <v>No Match</v>
      </c>
    </row>
    <row r="96" spans="1:7" ht="33.75" thickBot="1" x14ac:dyDescent="0.35">
      <c r="A96" s="3" t="s">
        <v>314</v>
      </c>
      <c r="B96" s="3" t="s">
        <v>315</v>
      </c>
      <c r="C96" s="4">
        <v>42966</v>
      </c>
      <c r="D96" s="3" t="s">
        <v>48</v>
      </c>
      <c r="E96" s="3" t="s">
        <v>102</v>
      </c>
      <c r="F96" s="3" t="s">
        <v>59</v>
      </c>
      <c r="G96" s="2" t="str">
        <f>IFERROR(VLOOKUP(B96,Sanctions_PEP!$A$2:$C$11,3,FALSE),"No Match")</f>
        <v>No Match</v>
      </c>
    </row>
    <row r="97" spans="1:7" ht="17.25" thickBot="1" x14ac:dyDescent="0.35">
      <c r="A97" s="3" t="s">
        <v>316</v>
      </c>
      <c r="B97" s="3" t="s">
        <v>317</v>
      </c>
      <c r="C97" s="4">
        <v>31077</v>
      </c>
      <c r="D97" s="3" t="s">
        <v>49</v>
      </c>
      <c r="E97" s="3" t="s">
        <v>30</v>
      </c>
      <c r="F97" s="3" t="s">
        <v>58</v>
      </c>
      <c r="G97" s="2" t="str">
        <f>IFERROR(VLOOKUP(B97,Sanctions_PEP!$A$2:$C$11,3,FALSE),"No Match")</f>
        <v>No Match</v>
      </c>
    </row>
    <row r="98" spans="1:7" ht="17.25" thickBot="1" x14ac:dyDescent="0.35">
      <c r="A98" s="3" t="s">
        <v>318</v>
      </c>
      <c r="B98" s="3" t="s">
        <v>319</v>
      </c>
      <c r="C98" s="4">
        <v>33414</v>
      </c>
      <c r="D98" s="3" t="s">
        <v>48</v>
      </c>
      <c r="E98" s="3" t="s">
        <v>116</v>
      </c>
      <c r="F98" s="3" t="s">
        <v>111</v>
      </c>
      <c r="G98" s="2" t="str">
        <f>IFERROR(VLOOKUP(B98,Sanctions_PEP!$A$2:$C$11,3,FALSE),"No Match")</f>
        <v>No Match</v>
      </c>
    </row>
    <row r="99" spans="1:7" ht="17.25" thickBot="1" x14ac:dyDescent="0.35">
      <c r="A99" s="3" t="s">
        <v>320</v>
      </c>
      <c r="B99" s="3" t="s">
        <v>321</v>
      </c>
      <c r="C99" s="4">
        <v>38558</v>
      </c>
      <c r="D99" s="3" t="s">
        <v>49</v>
      </c>
      <c r="E99" s="3" t="s">
        <v>88</v>
      </c>
      <c r="F99" s="3" t="s">
        <v>59</v>
      </c>
      <c r="G99" s="2" t="str">
        <f>IFERROR(VLOOKUP(B99,Sanctions_PEP!$A$2:$C$11,3,FALSE),"No Match")</f>
        <v>No Match</v>
      </c>
    </row>
    <row r="100" spans="1:7" ht="33.75" thickBot="1" x14ac:dyDescent="0.35">
      <c r="A100" s="3" t="s">
        <v>322</v>
      </c>
      <c r="B100" s="3" t="s">
        <v>323</v>
      </c>
      <c r="C100" s="4">
        <v>27303</v>
      </c>
      <c r="D100" s="3" t="s">
        <v>49</v>
      </c>
      <c r="E100" s="3" t="s">
        <v>186</v>
      </c>
      <c r="F100" s="3" t="s">
        <v>69</v>
      </c>
      <c r="G100" s="2" t="str">
        <f>IFERROR(VLOOKUP(B100,Sanctions_PEP!$A$2:$C$11,3,FALSE),"No Match")</f>
        <v>No Match</v>
      </c>
    </row>
    <row r="101" spans="1:7" ht="17.25" thickBot="1" x14ac:dyDescent="0.35">
      <c r="A101" s="3" t="s">
        <v>324</v>
      </c>
      <c r="B101" s="3" t="s">
        <v>325</v>
      </c>
      <c r="C101" s="4">
        <v>26359</v>
      </c>
      <c r="D101" s="3" t="s">
        <v>48</v>
      </c>
      <c r="E101" s="3" t="s">
        <v>290</v>
      </c>
      <c r="F101" s="3" t="s">
        <v>54</v>
      </c>
      <c r="G101" s="2" t="str">
        <f>IFERROR(VLOOKUP(B101,Sanctions_PEP!$A$2:$C$11,3,FALSE),"No Match")</f>
        <v>No Match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1196-711E-4824-BA9C-920180DCE265}">
  <dimension ref="A1:C11"/>
  <sheetViews>
    <sheetView workbookViewId="0">
      <pane ySplit="1" topLeftCell="A2" activePane="bottomLeft" state="frozen"/>
      <selection pane="bottomLeft" activeCell="F10" sqref="F10"/>
    </sheetView>
  </sheetViews>
  <sheetFormatPr defaultRowHeight="16.5" x14ac:dyDescent="0.3"/>
  <cols>
    <col min="1" max="1" width="19.140625" style="2" customWidth="1"/>
    <col min="2" max="2" width="15.42578125" style="2" customWidth="1"/>
    <col min="3" max="3" width="18" style="2" customWidth="1"/>
    <col min="4" max="16384" width="9.140625" style="2"/>
  </cols>
  <sheetData>
    <row r="1" spans="1:3" ht="18" thickBot="1" x14ac:dyDescent="0.35">
      <c r="A1" s="1" t="s">
        <v>44</v>
      </c>
      <c r="B1" s="1" t="s">
        <v>4</v>
      </c>
      <c r="C1" s="1" t="s">
        <v>123</v>
      </c>
    </row>
    <row r="2" spans="1:3" ht="17.25" thickBot="1" x14ac:dyDescent="0.35">
      <c r="A2" s="3" t="s">
        <v>124</v>
      </c>
      <c r="B2" s="3" t="s">
        <v>88</v>
      </c>
      <c r="C2" s="3" t="s">
        <v>125</v>
      </c>
    </row>
    <row r="3" spans="1:3" ht="17.25" thickBot="1" x14ac:dyDescent="0.35">
      <c r="A3" s="3" t="s">
        <v>126</v>
      </c>
      <c r="B3" s="3" t="s">
        <v>153</v>
      </c>
      <c r="C3" s="3" t="s">
        <v>127</v>
      </c>
    </row>
    <row r="4" spans="1:3" ht="17.25" thickBot="1" x14ac:dyDescent="0.35">
      <c r="A4" s="3" t="s">
        <v>128</v>
      </c>
      <c r="B4" s="3" t="s">
        <v>22</v>
      </c>
      <c r="C4" s="3" t="s">
        <v>125</v>
      </c>
    </row>
    <row r="5" spans="1:3" ht="17.25" thickBot="1" x14ac:dyDescent="0.35">
      <c r="A5" s="3" t="s">
        <v>129</v>
      </c>
      <c r="B5" s="3" t="s">
        <v>102</v>
      </c>
      <c r="C5" s="3" t="s">
        <v>127</v>
      </c>
    </row>
    <row r="6" spans="1:3" ht="17.25" thickBot="1" x14ac:dyDescent="0.35">
      <c r="A6" s="3" t="s">
        <v>130</v>
      </c>
      <c r="B6" s="3" t="s">
        <v>68</v>
      </c>
      <c r="C6" s="3" t="s">
        <v>125</v>
      </c>
    </row>
    <row r="7" spans="1:3" ht="17.25" thickBot="1" x14ac:dyDescent="0.35">
      <c r="A7" s="3" t="s">
        <v>131</v>
      </c>
      <c r="B7" s="3" t="s">
        <v>116</v>
      </c>
      <c r="C7" s="3" t="s">
        <v>127</v>
      </c>
    </row>
    <row r="8" spans="1:3" ht="17.25" thickBot="1" x14ac:dyDescent="0.35">
      <c r="A8" s="3" t="s">
        <v>132</v>
      </c>
      <c r="B8" s="3" t="s">
        <v>35</v>
      </c>
      <c r="C8" s="3" t="s">
        <v>125</v>
      </c>
    </row>
    <row r="9" spans="1:3" ht="17.25" thickBot="1" x14ac:dyDescent="0.35">
      <c r="A9" s="3" t="s">
        <v>133</v>
      </c>
      <c r="B9" s="3" t="s">
        <v>154</v>
      </c>
      <c r="C9" s="3" t="s">
        <v>125</v>
      </c>
    </row>
    <row r="10" spans="1:3" ht="17.25" thickBot="1" x14ac:dyDescent="0.35">
      <c r="A10" s="3" t="s">
        <v>134</v>
      </c>
      <c r="B10" s="3" t="s">
        <v>13</v>
      </c>
      <c r="C10" s="3" t="s">
        <v>127</v>
      </c>
    </row>
    <row r="11" spans="1:3" ht="17.25" thickBot="1" x14ac:dyDescent="0.35">
      <c r="A11" s="3" t="s">
        <v>135</v>
      </c>
      <c r="B11" s="3" t="s">
        <v>43</v>
      </c>
      <c r="C11" s="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6275-C139-4A45-80CE-F33EA882DA96}">
  <dimension ref="A1:E5"/>
  <sheetViews>
    <sheetView workbookViewId="0">
      <pane ySplit="1" topLeftCell="A2" activePane="bottomLeft" state="frozen"/>
      <selection pane="bottomLeft" activeCell="M4" sqref="M4"/>
    </sheetView>
  </sheetViews>
  <sheetFormatPr defaultRowHeight="16.5" x14ac:dyDescent="0.3"/>
  <cols>
    <col min="1" max="1" width="11.5703125" style="2" bestFit="1" customWidth="1"/>
    <col min="2" max="2" width="20.140625" style="2" customWidth="1"/>
    <col min="3" max="3" width="22.28515625" style="2" customWidth="1"/>
    <col min="4" max="4" width="19.5703125" style="2" customWidth="1"/>
    <col min="5" max="5" width="31" style="2" customWidth="1"/>
    <col min="6" max="16384" width="9.140625" style="2"/>
  </cols>
  <sheetData>
    <row r="1" spans="1:5" ht="18" thickBot="1" x14ac:dyDescent="0.35">
      <c r="A1" s="1" t="s">
        <v>1</v>
      </c>
      <c r="B1" s="1" t="s">
        <v>136</v>
      </c>
      <c r="C1" s="1" t="s">
        <v>137</v>
      </c>
      <c r="D1" s="1" t="s">
        <v>138</v>
      </c>
      <c r="E1" s="1" t="s">
        <v>139</v>
      </c>
    </row>
    <row r="2" spans="1:5" ht="33.75" thickBot="1" x14ac:dyDescent="0.35">
      <c r="A2" s="4">
        <v>45485</v>
      </c>
      <c r="B2" s="3" t="s">
        <v>140</v>
      </c>
      <c r="C2" s="3" t="s">
        <v>141</v>
      </c>
      <c r="D2" s="3" t="s">
        <v>142</v>
      </c>
      <c r="E2" s="3" t="s">
        <v>143</v>
      </c>
    </row>
    <row r="3" spans="1:5" ht="33.75" thickBot="1" x14ac:dyDescent="0.35">
      <c r="A3" s="4">
        <v>45450</v>
      </c>
      <c r="B3" s="3" t="s">
        <v>144</v>
      </c>
      <c r="C3" s="3" t="s">
        <v>141</v>
      </c>
      <c r="D3" s="3" t="s">
        <v>145</v>
      </c>
      <c r="E3" s="3" t="s">
        <v>143</v>
      </c>
    </row>
    <row r="4" spans="1:5" ht="33.75" thickBot="1" x14ac:dyDescent="0.35">
      <c r="A4" s="4">
        <v>45463</v>
      </c>
      <c r="B4" s="3" t="s">
        <v>146</v>
      </c>
      <c r="C4" s="3" t="s">
        <v>147</v>
      </c>
      <c r="D4" s="3" t="s">
        <v>148</v>
      </c>
      <c r="E4" s="3" t="s">
        <v>149</v>
      </c>
    </row>
    <row r="5" spans="1:5" ht="33.75" thickBot="1" x14ac:dyDescent="0.35">
      <c r="A5" s="4">
        <v>45485</v>
      </c>
      <c r="B5" s="3" t="s">
        <v>150</v>
      </c>
      <c r="C5" s="3" t="s">
        <v>151</v>
      </c>
      <c r="D5" s="3" t="s">
        <v>142</v>
      </c>
      <c r="E5" s="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Customers</vt:lpstr>
      <vt:lpstr>Sanctions_PEP</vt:lpstr>
      <vt:lpstr>Case_Log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Suresh</dc:creator>
  <cp:lastModifiedBy>Shadrack Kipruto</cp:lastModifiedBy>
  <dcterms:created xsi:type="dcterms:W3CDTF">2025-09-27T03:04:33Z</dcterms:created>
  <dcterms:modified xsi:type="dcterms:W3CDTF">2026-01-08T04:39:32Z</dcterms:modified>
</cp:coreProperties>
</file>