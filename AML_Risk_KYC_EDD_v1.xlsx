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G:\Job Applications\2025\Canada Applications\AML,KYC Bootcamp\Dataset\"/>
    </mc:Choice>
  </mc:AlternateContent>
  <xr:revisionPtr revIDLastSave="0" documentId="13_ncr:1_{34535DAA-1C9B-4D73-94A9-B72D687E9A56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CustomerProfiles" sheetId="1" r:id="rId1"/>
    <sheet name="ActualTransactions" sheetId="2" r:id="rId2"/>
    <sheet name="UBOChains" sheetId="3" r:id="rId3"/>
    <sheet name="EDDTriggers" sheetId="4" r:id="rId4"/>
    <sheet name="Case_Log" sheetId="5" r:id="rId5"/>
  </sheets>
  <calcPr calcId="191029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<sst xmlns="http://schemas.openxmlformats.org/spreadsheetml/2006/main" count="453" uniqueCount="213">
  <si>
    <t>CustomerID</t>
  </si>
  <si>
    <t>Name</t>
  </si>
  <si>
    <t>Occupation</t>
  </si>
  <si>
    <t>ExpectedMonthlyIncomeUSD</t>
  </si>
  <si>
    <t>Country</t>
  </si>
  <si>
    <t>C01</t>
  </si>
  <si>
    <t>John Doe</t>
  </si>
  <si>
    <t>Business Owner</t>
  </si>
  <si>
    <t>US</t>
  </si>
  <si>
    <t>C02</t>
  </si>
  <si>
    <t>Jane Miller</t>
  </si>
  <si>
    <t>Teacher</t>
  </si>
  <si>
    <t>UK</t>
  </si>
  <si>
    <t>C03</t>
  </si>
  <si>
    <t>Michael Brown</t>
  </si>
  <si>
    <t>Consultant</t>
  </si>
  <si>
    <t>CA</t>
  </si>
  <si>
    <t>C04</t>
  </si>
  <si>
    <t>Sarah Johnson</t>
  </si>
  <si>
    <t>Student</t>
  </si>
  <si>
    <t>IN</t>
  </si>
  <si>
    <t>C05</t>
  </si>
  <si>
    <t>David Lee</t>
  </si>
  <si>
    <t>Software Engineer</t>
  </si>
  <si>
    <t>C06</t>
  </si>
  <si>
    <t>Emily Clark</t>
  </si>
  <si>
    <t>Accountant</t>
  </si>
  <si>
    <t>AU</t>
  </si>
  <si>
    <t>C07</t>
  </si>
  <si>
    <t>Robert King</t>
  </si>
  <si>
    <t>Nurse</t>
  </si>
  <si>
    <t>C08</t>
  </si>
  <si>
    <t>Anna White</t>
  </si>
  <si>
    <t>Freelancer</t>
  </si>
  <si>
    <t>IE</t>
  </si>
  <si>
    <t>C09</t>
  </si>
  <si>
    <t>Mark Wilson</t>
  </si>
  <si>
    <t>Lawyer</t>
  </si>
  <si>
    <t>C10</t>
  </si>
  <si>
    <t>Laura Adams</t>
  </si>
  <si>
    <t>Chef</t>
  </si>
  <si>
    <t>SG</t>
  </si>
  <si>
    <t>TransactionID</t>
  </si>
  <si>
    <t>TransactionDate</t>
  </si>
  <si>
    <t>AmountUSD</t>
  </si>
  <si>
    <t>Type</t>
  </si>
  <si>
    <t>T0101</t>
  </si>
  <si>
    <t>2024-08-05</t>
  </si>
  <si>
    <t>Invoice Receipt</t>
  </si>
  <si>
    <t>T0102</t>
  </si>
  <si>
    <t>2024-08-06</t>
  </si>
  <si>
    <t>T0103</t>
  </si>
  <si>
    <t>2024-08-07</t>
  </si>
  <si>
    <t>T0104</t>
  </si>
  <si>
    <t>2024-08-08</t>
  </si>
  <si>
    <t>T0201</t>
  </si>
  <si>
    <t>Business Payment</t>
  </si>
  <si>
    <t>T0202</t>
  </si>
  <si>
    <t>2024-08-09</t>
  </si>
  <si>
    <t>T0203</t>
  </si>
  <si>
    <t>2024-08-10</t>
  </si>
  <si>
    <t>T0204</t>
  </si>
  <si>
    <t>2024-08-11</t>
  </si>
  <si>
    <t>T0301</t>
  </si>
  <si>
    <t>Consulting Fee</t>
  </si>
  <si>
    <t>T0302</t>
  </si>
  <si>
    <t>2024-08-12</t>
  </si>
  <si>
    <t>T0303</t>
  </si>
  <si>
    <t>2024-08-13</t>
  </si>
  <si>
    <t>T0304</t>
  </si>
  <si>
    <t>2024-08-14</t>
  </si>
  <si>
    <t>T0401</t>
  </si>
  <si>
    <t>Wire</t>
  </si>
  <si>
    <t>T0402</t>
  </si>
  <si>
    <t>2024-08-15</t>
  </si>
  <si>
    <t>T0403</t>
  </si>
  <si>
    <t>2024-08-16</t>
  </si>
  <si>
    <t>T0404</t>
  </si>
  <si>
    <t>2024-08-17</t>
  </si>
  <si>
    <t>T0501</t>
  </si>
  <si>
    <t>Salary</t>
  </si>
  <si>
    <t>T0502</t>
  </si>
  <si>
    <t>2024-08-18</t>
  </si>
  <si>
    <t>T0503</t>
  </si>
  <si>
    <t>2024-08-19</t>
  </si>
  <si>
    <t>T0504</t>
  </si>
  <si>
    <t>2024-08-20</t>
  </si>
  <si>
    <t>Bonus</t>
  </si>
  <si>
    <t>T0601</t>
  </si>
  <si>
    <t>T0602</t>
  </si>
  <si>
    <t>2024-08-21</t>
  </si>
  <si>
    <t>T0603</t>
  </si>
  <si>
    <t>2024-08-22</t>
  </si>
  <si>
    <t>T0604</t>
  </si>
  <si>
    <t>2024-08-23</t>
  </si>
  <si>
    <t>T0701</t>
  </si>
  <si>
    <t>T0702</t>
  </si>
  <si>
    <t>2024-08-24</t>
  </si>
  <si>
    <t>Transfer In</t>
  </si>
  <si>
    <t>T0703</t>
  </si>
  <si>
    <t>2024-08-25</t>
  </si>
  <si>
    <t>T0704</t>
  </si>
  <si>
    <t>2024-08-26</t>
  </si>
  <si>
    <t>T0801</t>
  </si>
  <si>
    <t>Project Payment</t>
  </si>
  <si>
    <t>T0802</t>
  </si>
  <si>
    <t>2024-08-27</t>
  </si>
  <si>
    <t>T0803</t>
  </si>
  <si>
    <t>2024-08-28</t>
  </si>
  <si>
    <t>T0804</t>
  </si>
  <si>
    <t>2024-08-29</t>
  </si>
  <si>
    <t>T0901</t>
  </si>
  <si>
    <t>Legal Fee</t>
  </si>
  <si>
    <t>T0902</t>
  </si>
  <si>
    <t>2024-08-30</t>
  </si>
  <si>
    <t>T0903</t>
  </si>
  <si>
    <t>2024-08-31</t>
  </si>
  <si>
    <t>T0904</t>
  </si>
  <si>
    <t>2024-09-01</t>
  </si>
  <si>
    <t>T1001</t>
  </si>
  <si>
    <t>T1002</t>
  </si>
  <si>
    <t>2024-09-02</t>
  </si>
  <si>
    <t>Tips</t>
  </si>
  <si>
    <t>T1003</t>
  </si>
  <si>
    <t>2024-09-03</t>
  </si>
  <si>
    <t>T1004</t>
  </si>
  <si>
    <t>2024-09-04</t>
  </si>
  <si>
    <t>DirectOwner</t>
  </si>
  <si>
    <t>UltimateBeneficialOwner</t>
  </si>
  <si>
    <t>UBO_Country</t>
  </si>
  <si>
    <t>Industry</t>
  </si>
  <si>
    <t>Doe Holdings LLC</t>
  </si>
  <si>
    <t>Wholesale Trade</t>
  </si>
  <si>
    <t>Miller Services Ltd</t>
  </si>
  <si>
    <t>BVI</t>
  </si>
  <si>
    <t>Education Services</t>
  </si>
  <si>
    <t>MB Advisory Inc</t>
  </si>
  <si>
    <t>Consulting</t>
  </si>
  <si>
    <t>AW Creative Ltd</t>
  </si>
  <si>
    <t>Panama</t>
  </si>
  <si>
    <t>Media/Design</t>
  </si>
  <si>
    <t>MW Legal LLP</t>
  </si>
  <si>
    <t>Legal Services</t>
  </si>
  <si>
    <t>Sector</t>
  </si>
  <si>
    <t>PEP_Status</t>
  </si>
  <si>
    <t>HighRiskIndicator</t>
  </si>
  <si>
    <t>Wholesale</t>
  </si>
  <si>
    <t>No</t>
  </si>
  <si>
    <t>None</t>
  </si>
  <si>
    <t>Education</t>
  </si>
  <si>
    <t>Large business inflows vs teacher profile</t>
  </si>
  <si>
    <t>Student/Unemployed</t>
  </si>
  <si>
    <t>High wires vs student profile</t>
  </si>
  <si>
    <t>Technology</t>
  </si>
  <si>
    <t>Accounting</t>
  </si>
  <si>
    <t>Healthcare</t>
  </si>
  <si>
    <t>Variable cross-border income</t>
  </si>
  <si>
    <t>Legal</t>
  </si>
  <si>
    <t>Yes</t>
  </si>
  <si>
    <t>PEP involvement</t>
  </si>
  <si>
    <t>Hospitality</t>
  </si>
  <si>
    <t>Date</t>
  </si>
  <si>
    <t>AlertID</t>
  </si>
  <si>
    <t>Scenario</t>
  </si>
  <si>
    <t>AnalystAction</t>
  </si>
  <si>
    <t>EscalationStatus</t>
  </si>
  <si>
    <t>Notes</t>
  </si>
  <si>
    <t>Task - profile vs activity analysis</t>
  </si>
  <si>
    <t>Goal - Detect activity inconsistent with customer profile</t>
  </si>
  <si>
    <t>Rationale</t>
  </si>
  <si>
    <t>Row Labels</t>
  </si>
  <si>
    <t>Grand Total</t>
  </si>
  <si>
    <t>Sum of AmountUSD</t>
  </si>
  <si>
    <t>Count of TransactionID</t>
  </si>
  <si>
    <t>TotalInflowUSD</t>
  </si>
  <si>
    <t>Transaction count</t>
  </si>
  <si>
    <t>Decision</t>
  </si>
  <si>
    <t>Escalate</t>
  </si>
  <si>
    <t>Close</t>
  </si>
  <si>
    <t>Total inflow 44000 &gt;&gt; expected 15000</t>
  </si>
  <si>
    <t>Business inflows for teacher profile; Total inflow 91000 &gt;&gt; expected 3500</t>
  </si>
  <si>
    <t>Total inflow 22000 &gt;&gt; expected 9000</t>
  </si>
  <si>
    <t>High-value wires for student profile; Total inflow 46000 &gt;&gt; expected 800</t>
  </si>
  <si>
    <t>Total inflow 17500 &gt;&gt; expected 7000</t>
  </si>
  <si>
    <t>Total inflow 24000 &gt;&gt; expected 6000</t>
  </si>
  <si>
    <t>Activity consistent with profile and expected income</t>
  </si>
  <si>
    <t>Total inflow 29000 &gt;&gt; expected 12000</t>
  </si>
  <si>
    <t>ProfileActivity_Mismatch-C01</t>
  </si>
  <si>
    <t>Activity Not in Line with Customer Profile</t>
  </si>
  <si>
    <t>Compared monthly inflows and transaction types against occupation/profile</t>
  </si>
  <si>
    <t>Escalated</t>
  </si>
  <si>
    <t>ProfileActivity_Mismatch-C02</t>
  </si>
  <si>
    <t>ProfileActivity_Mismatch-C03</t>
  </si>
  <si>
    <t>ProfileActivity_Mismatch-C04</t>
  </si>
  <si>
    <t>ProfileActivity_Mismatch-C05</t>
  </si>
  <si>
    <t>ProfileActivity_Mismatch-C06</t>
  </si>
  <si>
    <t>ProfileActivity_Mismatch-C09</t>
  </si>
  <si>
    <t>UBO-C02</t>
  </si>
  <si>
    <t>UBO Risk Case</t>
  </si>
  <si>
    <t>Reviewed UBO chain and jurisdiction risk</t>
  </si>
  <si>
    <t>UBO in high-risk jurisdiction (BVI)</t>
  </si>
  <si>
    <t>UBO-C08</t>
  </si>
  <si>
    <t>UBO in high-risk jurisdiction (Panama)</t>
  </si>
  <si>
    <t>EDD-C02</t>
  </si>
  <si>
    <t>Enhanced Due Diligence (EDD) Trigger</t>
  </si>
  <si>
    <t>Screened PEP status and high-risk indicators</t>
  </si>
  <si>
    <t>EDD-C04</t>
  </si>
  <si>
    <t>EDD-C08</t>
  </si>
  <si>
    <t>EDD-C09</t>
  </si>
  <si>
    <t>PEP involvement; PEP involvement</t>
  </si>
  <si>
    <t>Transparent UBO in lower-risk jurisdiction</t>
  </si>
  <si>
    <t>No EDD triggers present</t>
  </si>
  <si>
    <t>Escalate (Initiate EDD)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</si>
</sst>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Monk" refreshedDate="46037.930976157404" createdVersion="8" refreshedVersion="8" minRefreshableVersion="3" recordCount="40" xr:uid="{66FB5785-C9F7-418E-A901-0375D627E43A}">
  <cacheSource type="worksheet">
    <worksheetSource ref="A1:E41" sheet="ActualTransactions"/>
  </cacheSource>
  <cacheFields count="5">
    <cacheField name="TransactionID" numFmtId="0">
      <sharedItems count="40">
        <s v="T0101"/>
        <s v="T0102"/>
        <s v="T0103"/>
        <s v="T0104"/>
        <s v="T0201"/>
        <s v="T0202"/>
        <s v="T0203"/>
        <s v="T0204"/>
        <s v="T0301"/>
        <s v="T0302"/>
        <s v="T0303"/>
        <s v="T0304"/>
        <s v="T0401"/>
        <s v="T0402"/>
        <s v="T0403"/>
        <s v="T0404"/>
        <s v="T0501"/>
        <s v="T0502"/>
        <s v="T0503"/>
        <s v="T0504"/>
        <s v="T0601"/>
        <s v="T0602"/>
        <s v="T0603"/>
        <s v="T0604"/>
        <s v="T0701"/>
        <s v="T0702"/>
        <s v="T0703"/>
        <s v="T0704"/>
        <s v="T0801"/>
        <s v="T0802"/>
        <s v="T0803"/>
        <s v="T0804"/>
        <s v="T0901"/>
        <s v="T0902"/>
        <s v="T0903"/>
        <s v="T0904"/>
        <s v="T1001"/>
        <s v="T1002"/>
        <s v="T1003"/>
        <s v="T1004"/>
      </sharedItems>
    </cacheField>
    <cacheField name="CustomerID" numFmtId="0">
      <sharedItems count="10">
        <s v="C01"/>
        <s v="C02"/>
        <s v="C03"/>
        <s v="C04"/>
        <s v="C05"/>
        <s v="C06"/>
        <s v="C07"/>
        <s v="C08"/>
        <s v="C09"/>
        <s v="C10"/>
      </sharedItems>
    </cacheField>
    <cacheField name="TransactionDate" numFmtId="0">
      <sharedItems/>
    </cacheField>
    <cacheField name="AmountUSD" numFmtId="0">
      <sharedItems containsSemiMixedTypes="0" containsString="0" containsNumber="1" containsInteger="1" minValue="200" maxValue="26000"/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2024-08-05"/>
    <n v="8000"/>
    <s v="Invoice Receipt"/>
  </r>
  <r>
    <x v="1"/>
    <x v="0"/>
    <s v="2024-08-06"/>
    <n v="12000"/>
    <s v="Invoice Receipt"/>
  </r>
  <r>
    <x v="2"/>
    <x v="0"/>
    <s v="2024-08-07"/>
    <n v="15000"/>
    <s v="Invoice Receipt"/>
  </r>
  <r>
    <x v="3"/>
    <x v="0"/>
    <s v="2024-08-08"/>
    <n v="9000"/>
    <s v="Invoice Receipt"/>
  </r>
  <r>
    <x v="4"/>
    <x v="1"/>
    <s v="2024-08-08"/>
    <n v="25000"/>
    <s v="Business Payment"/>
  </r>
  <r>
    <x v="5"/>
    <x v="1"/>
    <s v="2024-08-09"/>
    <n v="18000"/>
    <s v="Business Payment"/>
  </r>
  <r>
    <x v="6"/>
    <x v="1"/>
    <s v="2024-08-10"/>
    <n v="22000"/>
    <s v="Business Payment"/>
  </r>
  <r>
    <x v="7"/>
    <x v="1"/>
    <s v="2024-08-11"/>
    <n v="26000"/>
    <s v="Business Payment"/>
  </r>
  <r>
    <x v="8"/>
    <x v="2"/>
    <s v="2024-08-11"/>
    <n v="4000"/>
    <s v="Consulting Fee"/>
  </r>
  <r>
    <x v="9"/>
    <x v="2"/>
    <s v="2024-08-12"/>
    <n v="5000"/>
    <s v="Consulting Fee"/>
  </r>
  <r>
    <x v="10"/>
    <x v="2"/>
    <s v="2024-08-13"/>
    <n v="6000"/>
    <s v="Consulting Fee"/>
  </r>
  <r>
    <x v="11"/>
    <x v="2"/>
    <s v="2024-08-14"/>
    <n v="7000"/>
    <s v="Consulting Fee"/>
  </r>
  <r>
    <x v="12"/>
    <x v="3"/>
    <s v="2024-08-14"/>
    <n v="10000"/>
    <s v="Wire"/>
  </r>
  <r>
    <x v="13"/>
    <x v="3"/>
    <s v="2024-08-15"/>
    <n v="12000"/>
    <s v="Wire"/>
  </r>
  <r>
    <x v="14"/>
    <x v="3"/>
    <s v="2024-08-16"/>
    <n v="9000"/>
    <s v="Wire"/>
  </r>
  <r>
    <x v="15"/>
    <x v="3"/>
    <s v="2024-08-17"/>
    <n v="15000"/>
    <s v="Wire"/>
  </r>
  <r>
    <x v="16"/>
    <x v="4"/>
    <s v="2024-08-17"/>
    <n v="3500"/>
    <s v="Salary"/>
  </r>
  <r>
    <x v="17"/>
    <x v="4"/>
    <s v="2024-08-18"/>
    <n v="3500"/>
    <s v="Salary"/>
  </r>
  <r>
    <x v="18"/>
    <x v="4"/>
    <s v="2024-08-19"/>
    <n v="3500"/>
    <s v="Salary"/>
  </r>
  <r>
    <x v="19"/>
    <x v="4"/>
    <s v="2024-08-20"/>
    <n v="7000"/>
    <s v="Bonus"/>
  </r>
  <r>
    <x v="20"/>
    <x v="5"/>
    <s v="2024-08-20"/>
    <n v="6000"/>
    <s v="Salary"/>
  </r>
  <r>
    <x v="21"/>
    <x v="5"/>
    <s v="2024-08-21"/>
    <n v="6000"/>
    <s v="Salary"/>
  </r>
  <r>
    <x v="22"/>
    <x v="5"/>
    <s v="2024-08-22"/>
    <n v="6000"/>
    <s v="Salary"/>
  </r>
  <r>
    <x v="23"/>
    <x v="5"/>
    <s v="2024-08-23"/>
    <n v="6000"/>
    <s v="Salary"/>
  </r>
  <r>
    <x v="24"/>
    <x v="6"/>
    <s v="2024-08-23"/>
    <n v="4500"/>
    <s v="Salary"/>
  </r>
  <r>
    <x v="25"/>
    <x v="6"/>
    <s v="2024-08-24"/>
    <n v="300"/>
    <s v="Transfer In"/>
  </r>
  <r>
    <x v="26"/>
    <x v="6"/>
    <s v="2024-08-25"/>
    <n v="4500"/>
    <s v="Salary"/>
  </r>
  <r>
    <x v="27"/>
    <x v="6"/>
    <s v="2024-08-26"/>
    <n v="200"/>
    <s v="Transfer In"/>
  </r>
  <r>
    <x v="28"/>
    <x v="7"/>
    <s v="2024-08-26"/>
    <n v="1500"/>
    <s v="Project Payment"/>
  </r>
  <r>
    <x v="29"/>
    <x v="7"/>
    <s v="2024-08-27"/>
    <n v="5000"/>
    <s v="Project Payment"/>
  </r>
  <r>
    <x v="30"/>
    <x v="7"/>
    <s v="2024-08-28"/>
    <n v="2000"/>
    <s v="Project Payment"/>
  </r>
  <r>
    <x v="31"/>
    <x v="7"/>
    <s v="2024-08-29"/>
    <n v="3500"/>
    <s v="Project Payment"/>
  </r>
  <r>
    <x v="32"/>
    <x v="8"/>
    <s v="2024-08-29"/>
    <n v="8000"/>
    <s v="Legal Fee"/>
  </r>
  <r>
    <x v="33"/>
    <x v="8"/>
    <s v="2024-08-30"/>
    <n v="12000"/>
    <s v="Legal Fee"/>
  </r>
  <r>
    <x v="34"/>
    <x v="8"/>
    <s v="2024-08-31"/>
    <n v="9000"/>
    <s v="Legal Fee"/>
  </r>
  <r>
    <x v="35"/>
    <x v="8"/>
    <s v="2024-09-01"/>
    <n v="15000"/>
    <s v="Legal Fee"/>
  </r>
  <r>
    <x v="36"/>
    <x v="9"/>
    <s v="2024-09-01"/>
    <n v="2500"/>
    <s v="Salary"/>
  </r>
  <r>
    <x v="37"/>
    <x v="9"/>
    <s v="2024-09-02"/>
    <n v="500"/>
    <s v="Tips"/>
  </r>
  <r>
    <x v="38"/>
    <x v="9"/>
    <s v="2024-09-03"/>
    <n v="2500"/>
    <s v="Salary"/>
  </r>
  <r>
    <x v="39"/>
    <x v="9"/>
    <s v="2024-09-04"/>
    <n v="400"/>
    <s v="Tip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3A943-E487-4272-B9F7-5DB0C508B00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5" firstHeaderRow="0" firstDataRow="1" firstDataCol="1"/>
  <pivotFields count="5">
    <pivotField dataFiel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ID" fld="0" subtotal="count" baseField="0" baseItem="0"/>
    <dataField name="Sum of AmountUS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I13" sqref="I13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17.5703125" bestFit="1" customWidth="1"/>
    <col min="4" max="4" width="27.5703125" bestFit="1" customWidth="1"/>
    <col min="5" max="5" width="8" bestFit="1" customWidth="1"/>
    <col min="6" max="6" width="16.28515625" customWidth="1"/>
    <col min="7" max="7" width="15" bestFit="1" customWidth="1"/>
    <col min="8" max="8" width="15" customWidth="1"/>
    <col min="9" max="9" width="66.7109375" bestFit="1" customWidth="1"/>
    <col min="11" max="11" width="13.140625" bestFit="1" customWidth="1"/>
    <col min="12" max="12" width="21.42578125" bestFit="1" customWidth="1"/>
    <col min="13" max="13" width="18.7109375" bestFit="1" customWidth="1"/>
    <col min="14" max="20" width="16.28515625" bestFit="1" customWidth="1"/>
    <col min="21" max="21" width="11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175</v>
      </c>
      <c r="G1" s="1" t="s">
        <v>174</v>
      </c>
      <c r="H1" s="1" t="s">
        <v>176</v>
      </c>
      <c r="I1" s="1" t="s">
        <v>169</v>
      </c>
    </row>
    <row r="2" spans="1:13" x14ac:dyDescent="0.25">
      <c r="A2" s="2" t="s">
        <v>5</v>
      </c>
      <c r="B2" s="2" t="s">
        <v>6</v>
      </c>
      <c r="C2" s="2" t="s">
        <v>7</v>
      </c>
      <c r="D2" s="2">
        <v>15000</v>
      </c>
      <c r="E2" s="2" t="s">
        <v>8</v>
      </c>
      <c r="F2" s="2">
        <v>4</v>
      </c>
      <c r="G2" s="2">
        <v>44000</v>
      </c>
      <c r="H2" s="2" t="s">
        <v>177</v>
      </c>
      <c r="I2" s="6" t="s">
        <v>179</v>
      </c>
    </row>
    <row r="3" spans="1:13" x14ac:dyDescent="0.25">
      <c r="A3" s="2" t="s">
        <v>9</v>
      </c>
      <c r="B3" s="2" t="s">
        <v>10</v>
      </c>
      <c r="C3" s="2" t="s">
        <v>11</v>
      </c>
      <c r="D3" s="2">
        <v>3500</v>
      </c>
      <c r="E3" s="2" t="s">
        <v>12</v>
      </c>
      <c r="F3" s="2">
        <v>4</v>
      </c>
      <c r="G3" s="2">
        <v>91000</v>
      </c>
      <c r="H3" s="2" t="s">
        <v>177</v>
      </c>
      <c r="I3" s="6" t="s">
        <v>180</v>
      </c>
    </row>
    <row r="4" spans="1:13" x14ac:dyDescent="0.25">
      <c r="A4" s="2" t="s">
        <v>13</v>
      </c>
      <c r="B4" s="2" t="s">
        <v>14</v>
      </c>
      <c r="C4" s="2" t="s">
        <v>15</v>
      </c>
      <c r="D4" s="2">
        <v>9000</v>
      </c>
      <c r="E4" s="2" t="s">
        <v>16</v>
      </c>
      <c r="F4" s="2">
        <v>4</v>
      </c>
      <c r="G4" s="2">
        <v>22000</v>
      </c>
      <c r="H4" s="2" t="s">
        <v>177</v>
      </c>
      <c r="I4" s="6" t="s">
        <v>181</v>
      </c>
      <c r="K4" s="3" t="s">
        <v>170</v>
      </c>
      <c r="L4" t="s">
        <v>173</v>
      </c>
      <c r="M4" t="s">
        <v>172</v>
      </c>
    </row>
    <row r="5" spans="1:13" x14ac:dyDescent="0.25">
      <c r="A5" s="2" t="s">
        <v>17</v>
      </c>
      <c r="B5" s="2" t="s">
        <v>18</v>
      </c>
      <c r="C5" s="2" t="s">
        <v>19</v>
      </c>
      <c r="D5" s="2">
        <v>800</v>
      </c>
      <c r="E5" s="2" t="s">
        <v>20</v>
      </c>
      <c r="F5" s="2">
        <v>4</v>
      </c>
      <c r="G5" s="2">
        <v>46000</v>
      </c>
      <c r="H5" s="2" t="s">
        <v>177</v>
      </c>
      <c r="I5" s="6" t="s">
        <v>182</v>
      </c>
      <c r="K5" s="4" t="s">
        <v>5</v>
      </c>
      <c r="L5" s="5">
        <v>4</v>
      </c>
      <c r="M5" s="5">
        <v>44000</v>
      </c>
    </row>
    <row r="6" spans="1:13" x14ac:dyDescent="0.25">
      <c r="A6" s="2" t="s">
        <v>21</v>
      </c>
      <c r="B6" s="2" t="s">
        <v>22</v>
      </c>
      <c r="C6" s="2" t="s">
        <v>23</v>
      </c>
      <c r="D6" s="2">
        <v>7000</v>
      </c>
      <c r="E6" s="2" t="s">
        <v>8</v>
      </c>
      <c r="F6" s="2">
        <v>4</v>
      </c>
      <c r="G6" s="2">
        <v>17500</v>
      </c>
      <c r="H6" s="2" t="s">
        <v>177</v>
      </c>
      <c r="I6" s="6" t="s">
        <v>183</v>
      </c>
      <c r="K6" s="4" t="s">
        <v>9</v>
      </c>
      <c r="L6" s="5">
        <v>4</v>
      </c>
      <c r="M6" s="5">
        <v>91000</v>
      </c>
    </row>
    <row r="7" spans="1:13" x14ac:dyDescent="0.25">
      <c r="A7" s="2" t="s">
        <v>24</v>
      </c>
      <c r="B7" s="2" t="s">
        <v>25</v>
      </c>
      <c r="C7" s="2" t="s">
        <v>26</v>
      </c>
      <c r="D7" s="2">
        <v>6000</v>
      </c>
      <c r="E7" s="2" t="s">
        <v>27</v>
      </c>
      <c r="F7" s="2">
        <v>4</v>
      </c>
      <c r="G7" s="2">
        <v>24000</v>
      </c>
      <c r="H7" s="2" t="s">
        <v>177</v>
      </c>
      <c r="I7" s="6" t="s">
        <v>184</v>
      </c>
      <c r="K7" s="4" t="s">
        <v>13</v>
      </c>
      <c r="L7" s="5">
        <v>4</v>
      </c>
      <c r="M7" s="5">
        <v>22000</v>
      </c>
    </row>
    <row r="8" spans="1:13" x14ac:dyDescent="0.25">
      <c r="A8" s="2" t="s">
        <v>28</v>
      </c>
      <c r="B8" s="2" t="s">
        <v>29</v>
      </c>
      <c r="C8" s="2" t="s">
        <v>30</v>
      </c>
      <c r="D8" s="2">
        <v>4500</v>
      </c>
      <c r="E8" s="2" t="s">
        <v>8</v>
      </c>
      <c r="F8" s="2">
        <v>4</v>
      </c>
      <c r="G8" s="2">
        <v>9500</v>
      </c>
      <c r="H8" s="2" t="s">
        <v>178</v>
      </c>
      <c r="I8" s="6" t="s">
        <v>185</v>
      </c>
      <c r="K8" s="4" t="s">
        <v>17</v>
      </c>
      <c r="L8" s="5">
        <v>4</v>
      </c>
      <c r="M8" s="5">
        <v>46000</v>
      </c>
    </row>
    <row r="9" spans="1:13" x14ac:dyDescent="0.25">
      <c r="A9" s="2" t="s">
        <v>31</v>
      </c>
      <c r="B9" s="2" t="s">
        <v>32</v>
      </c>
      <c r="C9" s="2" t="s">
        <v>33</v>
      </c>
      <c r="D9" s="2">
        <v>4000</v>
      </c>
      <c r="E9" s="2" t="s">
        <v>34</v>
      </c>
      <c r="F9" s="2">
        <v>4</v>
      </c>
      <c r="G9" s="2">
        <v>12000</v>
      </c>
      <c r="H9" s="2" t="s">
        <v>178</v>
      </c>
      <c r="I9" s="6" t="s">
        <v>185</v>
      </c>
      <c r="K9" s="4" t="s">
        <v>21</v>
      </c>
      <c r="L9" s="5">
        <v>4</v>
      </c>
      <c r="M9" s="5">
        <v>17500</v>
      </c>
    </row>
    <row r="10" spans="1:13" x14ac:dyDescent="0.25">
      <c r="A10" s="2" t="s">
        <v>35</v>
      </c>
      <c r="B10" s="2" t="s">
        <v>36</v>
      </c>
      <c r="C10" s="2" t="s">
        <v>37</v>
      </c>
      <c r="D10" s="2">
        <v>12000</v>
      </c>
      <c r="E10" s="2" t="s">
        <v>12</v>
      </c>
      <c r="F10" s="2">
        <v>4</v>
      </c>
      <c r="G10" s="2">
        <v>44000</v>
      </c>
      <c r="H10" s="2" t="s">
        <v>177</v>
      </c>
      <c r="I10" s="6" t="s">
        <v>186</v>
      </c>
      <c r="K10" s="4" t="s">
        <v>24</v>
      </c>
      <c r="L10" s="5">
        <v>4</v>
      </c>
      <c r="M10" s="5">
        <v>24000</v>
      </c>
    </row>
    <row r="11" spans="1:13" x14ac:dyDescent="0.25">
      <c r="A11" s="2" t="s">
        <v>38</v>
      </c>
      <c r="B11" s="2" t="s">
        <v>39</v>
      </c>
      <c r="C11" s="2" t="s">
        <v>40</v>
      </c>
      <c r="D11" s="2">
        <v>3000</v>
      </c>
      <c r="E11" s="2" t="s">
        <v>41</v>
      </c>
      <c r="F11" s="2">
        <v>4</v>
      </c>
      <c r="G11" s="2">
        <v>5900</v>
      </c>
      <c r="H11" s="2" t="s">
        <v>178</v>
      </c>
      <c r="I11" s="6" t="s">
        <v>185</v>
      </c>
      <c r="K11" s="4" t="s">
        <v>28</v>
      </c>
      <c r="L11" s="5">
        <v>4</v>
      </c>
      <c r="M11" s="5">
        <v>9500</v>
      </c>
    </row>
    <row r="12" spans="1:13" x14ac:dyDescent="0.25">
      <c r="K12" s="4" t="s">
        <v>31</v>
      </c>
      <c r="L12" s="5">
        <v>4</v>
      </c>
      <c r="M12" s="5">
        <v>12000</v>
      </c>
    </row>
    <row r="13" spans="1:13" x14ac:dyDescent="0.25">
      <c r="K13" s="4" t="s">
        <v>35</v>
      </c>
      <c r="L13" s="5">
        <v>4</v>
      </c>
      <c r="M13" s="5">
        <v>44000</v>
      </c>
    </row>
    <row r="14" spans="1:13" x14ac:dyDescent="0.25">
      <c r="B14" t="s">
        <v>167</v>
      </c>
      <c r="K14" s="4" t="s">
        <v>38</v>
      </c>
      <c r="L14" s="5">
        <v>4</v>
      </c>
      <c r="M14" s="5">
        <v>5900</v>
      </c>
    </row>
    <row r="15" spans="1:13" x14ac:dyDescent="0.25">
      <c r="B15" t="s">
        <v>168</v>
      </c>
      <c r="K15" s="4" t="s">
        <v>171</v>
      </c>
      <c r="L15" s="5">
        <v>40</v>
      </c>
      <c r="M15" s="5">
        <v>315900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2C23-C930-4A33-BD46-B8F39DA5A379}">
  <dimension ref="A1:E41"/>
  <sheetViews>
    <sheetView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5.42578125" bestFit="1" customWidth="1"/>
    <col min="4" max="4" width="11.85546875" bestFit="1" customWidth="1"/>
    <col min="5" max="5" width="17.28515625" bestFit="1" customWidth="1"/>
    <col min="7" max="7" width="13.140625" bestFit="1" customWidth="1"/>
    <col min="8" max="8" width="21.42578125" bestFit="1" customWidth="1"/>
    <col min="9" max="47" width="6" bestFit="1" customWidth="1"/>
    <col min="48" max="48" width="11.28515625" bestFit="1" customWidth="1"/>
  </cols>
  <sheetData>
    <row r="1" spans="1:5" x14ac:dyDescent="0.25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</row>
    <row r="2" spans="1:5" x14ac:dyDescent="0.25">
      <c r="A2" s="2" t="s">
        <v>46</v>
      </c>
      <c r="B2" s="2" t="s">
        <v>5</v>
      </c>
      <c r="C2" s="2" t="s">
        <v>47</v>
      </c>
      <c r="D2" s="2">
        <v>8000</v>
      </c>
      <c r="E2" s="2" t="s">
        <v>48</v>
      </c>
    </row>
    <row r="3" spans="1:5" x14ac:dyDescent="0.25">
      <c r="A3" s="2" t="s">
        <v>49</v>
      </c>
      <c r="B3" s="2" t="s">
        <v>5</v>
      </c>
      <c r="C3" s="2" t="s">
        <v>50</v>
      </c>
      <c r="D3" s="2">
        <v>12000</v>
      </c>
      <c r="E3" s="2" t="s">
        <v>48</v>
      </c>
    </row>
    <row r="4" spans="1:5" x14ac:dyDescent="0.25">
      <c r="A4" s="2" t="s">
        <v>51</v>
      </c>
      <c r="B4" s="2" t="s">
        <v>5</v>
      </c>
      <c r="C4" s="2" t="s">
        <v>52</v>
      </c>
      <c r="D4" s="2">
        <v>15000</v>
      </c>
      <c r="E4" s="2" t="s">
        <v>48</v>
      </c>
    </row>
    <row r="5" spans="1:5" x14ac:dyDescent="0.25">
      <c r="A5" s="2" t="s">
        <v>53</v>
      </c>
      <c r="B5" s="2" t="s">
        <v>5</v>
      </c>
      <c r="C5" s="2" t="s">
        <v>54</v>
      </c>
      <c r="D5" s="2">
        <v>9000</v>
      </c>
      <c r="E5" s="2" t="s">
        <v>48</v>
      </c>
    </row>
    <row r="6" spans="1:5" x14ac:dyDescent="0.25">
      <c r="A6" s="2" t="s">
        <v>55</v>
      </c>
      <c r="B6" s="2" t="s">
        <v>9</v>
      </c>
      <c r="C6" s="2" t="s">
        <v>54</v>
      </c>
      <c r="D6" s="2">
        <v>25000</v>
      </c>
      <c r="E6" s="2" t="s">
        <v>56</v>
      </c>
    </row>
    <row r="7" spans="1:5" x14ac:dyDescent="0.25">
      <c r="A7" s="2" t="s">
        <v>57</v>
      </c>
      <c r="B7" s="2" t="s">
        <v>9</v>
      </c>
      <c r="C7" s="2" t="s">
        <v>58</v>
      </c>
      <c r="D7" s="2">
        <v>18000</v>
      </c>
      <c r="E7" s="2" t="s">
        <v>56</v>
      </c>
    </row>
    <row r="8" spans="1:5" x14ac:dyDescent="0.25">
      <c r="A8" s="2" t="s">
        <v>59</v>
      </c>
      <c r="B8" s="2" t="s">
        <v>9</v>
      </c>
      <c r="C8" s="2" t="s">
        <v>60</v>
      </c>
      <c r="D8" s="2">
        <v>22000</v>
      </c>
      <c r="E8" s="2" t="s">
        <v>56</v>
      </c>
    </row>
    <row r="9" spans="1:5" x14ac:dyDescent="0.25">
      <c r="A9" s="2" t="s">
        <v>61</v>
      </c>
      <c r="B9" s="2" t="s">
        <v>9</v>
      </c>
      <c r="C9" s="2" t="s">
        <v>62</v>
      </c>
      <c r="D9" s="2">
        <v>26000</v>
      </c>
      <c r="E9" s="2" t="s">
        <v>56</v>
      </c>
    </row>
    <row r="10" spans="1:5" x14ac:dyDescent="0.25">
      <c r="A10" s="2" t="s">
        <v>63</v>
      </c>
      <c r="B10" s="2" t="s">
        <v>13</v>
      </c>
      <c r="C10" s="2" t="s">
        <v>62</v>
      </c>
      <c r="D10" s="2">
        <v>4000</v>
      </c>
      <c r="E10" s="2" t="s">
        <v>64</v>
      </c>
    </row>
    <row r="11" spans="1:5" x14ac:dyDescent="0.25">
      <c r="A11" s="2" t="s">
        <v>65</v>
      </c>
      <c r="B11" s="2" t="s">
        <v>13</v>
      </c>
      <c r="C11" s="2" t="s">
        <v>66</v>
      </c>
      <c r="D11" s="2">
        <v>5000</v>
      </c>
      <c r="E11" s="2" t="s">
        <v>64</v>
      </c>
    </row>
    <row r="12" spans="1:5" x14ac:dyDescent="0.25">
      <c r="A12" s="2" t="s">
        <v>67</v>
      </c>
      <c r="B12" s="2" t="s">
        <v>13</v>
      </c>
      <c r="C12" s="2" t="s">
        <v>68</v>
      </c>
      <c r="D12" s="2">
        <v>6000</v>
      </c>
      <c r="E12" s="2" t="s">
        <v>64</v>
      </c>
    </row>
    <row r="13" spans="1:5" x14ac:dyDescent="0.25">
      <c r="A13" s="2" t="s">
        <v>69</v>
      </c>
      <c r="B13" s="2" t="s">
        <v>13</v>
      </c>
      <c r="C13" s="2" t="s">
        <v>70</v>
      </c>
      <c r="D13" s="2">
        <v>7000</v>
      </c>
      <c r="E13" s="2" t="s">
        <v>64</v>
      </c>
    </row>
    <row r="14" spans="1:5" x14ac:dyDescent="0.25">
      <c r="A14" s="2" t="s">
        <v>71</v>
      </c>
      <c r="B14" s="2" t="s">
        <v>17</v>
      </c>
      <c r="C14" s="2" t="s">
        <v>70</v>
      </c>
      <c r="D14" s="2">
        <v>10000</v>
      </c>
      <c r="E14" s="2" t="s">
        <v>72</v>
      </c>
    </row>
    <row r="15" spans="1:5" x14ac:dyDescent="0.25">
      <c r="A15" s="2" t="s">
        <v>73</v>
      </c>
      <c r="B15" s="2" t="s">
        <v>17</v>
      </c>
      <c r="C15" s="2" t="s">
        <v>74</v>
      </c>
      <c r="D15" s="2">
        <v>12000</v>
      </c>
      <c r="E15" s="2" t="s">
        <v>72</v>
      </c>
    </row>
    <row r="16" spans="1:5" x14ac:dyDescent="0.25">
      <c r="A16" s="2" t="s">
        <v>75</v>
      </c>
      <c r="B16" s="2" t="s">
        <v>17</v>
      </c>
      <c r="C16" s="2" t="s">
        <v>76</v>
      </c>
      <c r="D16" s="2">
        <v>9000</v>
      </c>
      <c r="E16" s="2" t="s">
        <v>72</v>
      </c>
    </row>
    <row r="17" spans="1:5" x14ac:dyDescent="0.25">
      <c r="A17" s="2" t="s">
        <v>77</v>
      </c>
      <c r="B17" s="2" t="s">
        <v>17</v>
      </c>
      <c r="C17" s="2" t="s">
        <v>78</v>
      </c>
      <c r="D17" s="2">
        <v>15000</v>
      </c>
      <c r="E17" s="2" t="s">
        <v>72</v>
      </c>
    </row>
    <row r="18" spans="1:5" x14ac:dyDescent="0.25">
      <c r="A18" s="2" t="s">
        <v>79</v>
      </c>
      <c r="B18" s="2" t="s">
        <v>21</v>
      </c>
      <c r="C18" s="2" t="s">
        <v>78</v>
      </c>
      <c r="D18" s="2">
        <v>3500</v>
      </c>
      <c r="E18" s="2" t="s">
        <v>80</v>
      </c>
    </row>
    <row r="19" spans="1:5" x14ac:dyDescent="0.25">
      <c r="A19" s="2" t="s">
        <v>81</v>
      </c>
      <c r="B19" s="2" t="s">
        <v>21</v>
      </c>
      <c r="C19" s="2" t="s">
        <v>82</v>
      </c>
      <c r="D19" s="2">
        <v>3500</v>
      </c>
      <c r="E19" s="2" t="s">
        <v>80</v>
      </c>
    </row>
    <row r="20" spans="1:5" x14ac:dyDescent="0.25">
      <c r="A20" s="2" t="s">
        <v>83</v>
      </c>
      <c r="B20" s="2" t="s">
        <v>21</v>
      </c>
      <c r="C20" s="2" t="s">
        <v>84</v>
      </c>
      <c r="D20" s="2">
        <v>3500</v>
      </c>
      <c r="E20" s="2" t="s">
        <v>80</v>
      </c>
    </row>
    <row r="21" spans="1:5" x14ac:dyDescent="0.25">
      <c r="A21" s="2" t="s">
        <v>85</v>
      </c>
      <c r="B21" s="2" t="s">
        <v>21</v>
      </c>
      <c r="C21" s="2" t="s">
        <v>86</v>
      </c>
      <c r="D21" s="2">
        <v>7000</v>
      </c>
      <c r="E21" s="2" t="s">
        <v>87</v>
      </c>
    </row>
    <row r="22" spans="1:5" x14ac:dyDescent="0.25">
      <c r="A22" s="2" t="s">
        <v>88</v>
      </c>
      <c r="B22" s="2" t="s">
        <v>24</v>
      </c>
      <c r="C22" s="2" t="s">
        <v>86</v>
      </c>
      <c r="D22" s="2">
        <v>6000</v>
      </c>
      <c r="E22" s="2" t="s">
        <v>80</v>
      </c>
    </row>
    <row r="23" spans="1:5" x14ac:dyDescent="0.25">
      <c r="A23" s="2" t="s">
        <v>89</v>
      </c>
      <c r="B23" s="2" t="s">
        <v>24</v>
      </c>
      <c r="C23" s="2" t="s">
        <v>90</v>
      </c>
      <c r="D23" s="2">
        <v>6000</v>
      </c>
      <c r="E23" s="2" t="s">
        <v>80</v>
      </c>
    </row>
    <row r="24" spans="1:5" x14ac:dyDescent="0.25">
      <c r="A24" s="2" t="s">
        <v>91</v>
      </c>
      <c r="B24" s="2" t="s">
        <v>24</v>
      </c>
      <c r="C24" s="2" t="s">
        <v>92</v>
      </c>
      <c r="D24" s="2">
        <v>6000</v>
      </c>
      <c r="E24" s="2" t="s">
        <v>80</v>
      </c>
    </row>
    <row r="25" spans="1:5" x14ac:dyDescent="0.25">
      <c r="A25" s="2" t="s">
        <v>93</v>
      </c>
      <c r="B25" s="2" t="s">
        <v>24</v>
      </c>
      <c r="C25" s="2" t="s">
        <v>94</v>
      </c>
      <c r="D25" s="2">
        <v>6000</v>
      </c>
      <c r="E25" s="2" t="s">
        <v>80</v>
      </c>
    </row>
    <row r="26" spans="1:5" x14ac:dyDescent="0.25">
      <c r="A26" s="2" t="s">
        <v>95</v>
      </c>
      <c r="B26" s="2" t="s">
        <v>28</v>
      </c>
      <c r="C26" s="2" t="s">
        <v>94</v>
      </c>
      <c r="D26" s="2">
        <v>4500</v>
      </c>
      <c r="E26" s="2" t="s">
        <v>80</v>
      </c>
    </row>
    <row r="27" spans="1:5" x14ac:dyDescent="0.25">
      <c r="A27" s="2" t="s">
        <v>96</v>
      </c>
      <c r="B27" s="2" t="s">
        <v>28</v>
      </c>
      <c r="C27" s="2" t="s">
        <v>97</v>
      </c>
      <c r="D27" s="2">
        <v>300</v>
      </c>
      <c r="E27" s="2" t="s">
        <v>98</v>
      </c>
    </row>
    <row r="28" spans="1:5" x14ac:dyDescent="0.25">
      <c r="A28" s="2" t="s">
        <v>99</v>
      </c>
      <c r="B28" s="2" t="s">
        <v>28</v>
      </c>
      <c r="C28" s="2" t="s">
        <v>100</v>
      </c>
      <c r="D28" s="2">
        <v>4500</v>
      </c>
      <c r="E28" s="2" t="s">
        <v>80</v>
      </c>
    </row>
    <row r="29" spans="1:5" x14ac:dyDescent="0.25">
      <c r="A29" s="2" t="s">
        <v>101</v>
      </c>
      <c r="B29" s="2" t="s">
        <v>28</v>
      </c>
      <c r="C29" s="2" t="s">
        <v>102</v>
      </c>
      <c r="D29" s="2">
        <v>200</v>
      </c>
      <c r="E29" s="2" t="s">
        <v>98</v>
      </c>
    </row>
    <row r="30" spans="1:5" x14ac:dyDescent="0.25">
      <c r="A30" s="2" t="s">
        <v>103</v>
      </c>
      <c r="B30" s="2" t="s">
        <v>31</v>
      </c>
      <c r="C30" s="2" t="s">
        <v>102</v>
      </c>
      <c r="D30" s="2">
        <v>1500</v>
      </c>
      <c r="E30" s="2" t="s">
        <v>104</v>
      </c>
    </row>
    <row r="31" spans="1:5" x14ac:dyDescent="0.25">
      <c r="A31" s="2" t="s">
        <v>105</v>
      </c>
      <c r="B31" s="2" t="s">
        <v>31</v>
      </c>
      <c r="C31" s="2" t="s">
        <v>106</v>
      </c>
      <c r="D31" s="2">
        <v>5000</v>
      </c>
      <c r="E31" s="2" t="s">
        <v>104</v>
      </c>
    </row>
    <row r="32" spans="1:5" x14ac:dyDescent="0.25">
      <c r="A32" s="2" t="s">
        <v>107</v>
      </c>
      <c r="B32" s="2" t="s">
        <v>31</v>
      </c>
      <c r="C32" s="2" t="s">
        <v>108</v>
      </c>
      <c r="D32" s="2">
        <v>2000</v>
      </c>
      <c r="E32" s="2" t="s">
        <v>104</v>
      </c>
    </row>
    <row r="33" spans="1:5" x14ac:dyDescent="0.25">
      <c r="A33" s="2" t="s">
        <v>109</v>
      </c>
      <c r="B33" s="2" t="s">
        <v>31</v>
      </c>
      <c r="C33" s="2" t="s">
        <v>110</v>
      </c>
      <c r="D33" s="2">
        <v>3500</v>
      </c>
      <c r="E33" s="2" t="s">
        <v>104</v>
      </c>
    </row>
    <row r="34" spans="1:5" x14ac:dyDescent="0.25">
      <c r="A34" s="2" t="s">
        <v>111</v>
      </c>
      <c r="B34" s="2" t="s">
        <v>35</v>
      </c>
      <c r="C34" s="2" t="s">
        <v>110</v>
      </c>
      <c r="D34" s="2">
        <v>8000</v>
      </c>
      <c r="E34" s="2" t="s">
        <v>112</v>
      </c>
    </row>
    <row r="35" spans="1:5" x14ac:dyDescent="0.25">
      <c r="A35" s="2" t="s">
        <v>113</v>
      </c>
      <c r="B35" s="2" t="s">
        <v>35</v>
      </c>
      <c r="C35" s="2" t="s">
        <v>114</v>
      </c>
      <c r="D35" s="2">
        <v>12000</v>
      </c>
      <c r="E35" s="2" t="s">
        <v>112</v>
      </c>
    </row>
    <row r="36" spans="1:5" x14ac:dyDescent="0.25">
      <c r="A36" s="2" t="s">
        <v>115</v>
      </c>
      <c r="B36" s="2" t="s">
        <v>35</v>
      </c>
      <c r="C36" s="2" t="s">
        <v>116</v>
      </c>
      <c r="D36" s="2">
        <v>9000</v>
      </c>
      <c r="E36" s="2" t="s">
        <v>112</v>
      </c>
    </row>
    <row r="37" spans="1:5" x14ac:dyDescent="0.25">
      <c r="A37" s="2" t="s">
        <v>117</v>
      </c>
      <c r="B37" s="2" t="s">
        <v>35</v>
      </c>
      <c r="C37" s="2" t="s">
        <v>118</v>
      </c>
      <c r="D37" s="2">
        <v>15000</v>
      </c>
      <c r="E37" s="2" t="s">
        <v>112</v>
      </c>
    </row>
    <row r="38" spans="1:5" x14ac:dyDescent="0.25">
      <c r="A38" s="2" t="s">
        <v>119</v>
      </c>
      <c r="B38" s="2" t="s">
        <v>38</v>
      </c>
      <c r="C38" s="2" t="s">
        <v>118</v>
      </c>
      <c r="D38" s="2">
        <v>2500</v>
      </c>
      <c r="E38" s="2" t="s">
        <v>80</v>
      </c>
    </row>
    <row r="39" spans="1:5" x14ac:dyDescent="0.25">
      <c r="A39" s="2" t="s">
        <v>120</v>
      </c>
      <c r="B39" s="2" t="s">
        <v>38</v>
      </c>
      <c r="C39" s="2" t="s">
        <v>121</v>
      </c>
      <c r="D39" s="2">
        <v>500</v>
      </c>
      <c r="E39" s="2" t="s">
        <v>122</v>
      </c>
    </row>
    <row r="40" spans="1:5" x14ac:dyDescent="0.25">
      <c r="A40" s="2" t="s">
        <v>123</v>
      </c>
      <c r="B40" s="2" t="s">
        <v>38</v>
      </c>
      <c r="C40" s="2" t="s">
        <v>124</v>
      </c>
      <c r="D40" s="2">
        <v>2500</v>
      </c>
      <c r="E40" s="2" t="s">
        <v>80</v>
      </c>
    </row>
    <row r="41" spans="1:5" x14ac:dyDescent="0.25">
      <c r="A41" s="2" t="s">
        <v>125</v>
      </c>
      <c r="B41" s="2" t="s">
        <v>38</v>
      </c>
      <c r="C41" s="2" t="s">
        <v>126</v>
      </c>
      <c r="D41" s="2">
        <v>400</v>
      </c>
      <c r="E41" s="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0A39-37E7-4F6F-9EC0-2C5EEF055F14}">
  <dimension ref="A1:G6"/>
  <sheetViews>
    <sheetView topLeftCell="D1" workbookViewId="0">
      <selection activeCell="G10" sqref="G10"/>
    </sheetView>
  </sheetViews>
  <sheetFormatPr defaultRowHeight="15" x14ac:dyDescent="0.25"/>
  <cols>
    <col min="1" max="1" width="11.42578125" bestFit="1" customWidth="1"/>
    <col min="2" max="2" width="17.42578125" bestFit="1" customWidth="1"/>
    <col min="3" max="3" width="24.140625" bestFit="1" customWidth="1"/>
    <col min="4" max="4" width="13.140625" bestFit="1" customWidth="1"/>
    <col min="5" max="5" width="17.7109375" bestFit="1" customWidth="1"/>
    <col min="7" max="7" width="38.85546875" bestFit="1" customWidth="1"/>
  </cols>
  <sheetData>
    <row r="1" spans="1:7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7" t="s">
        <v>176</v>
      </c>
      <c r="G1" s="7" t="s">
        <v>169</v>
      </c>
    </row>
    <row r="2" spans="1:7" x14ac:dyDescent="0.25">
      <c r="A2" s="2" t="s">
        <v>5</v>
      </c>
      <c r="B2" s="2" t="s">
        <v>131</v>
      </c>
      <c r="C2" s="2" t="s">
        <v>6</v>
      </c>
      <c r="D2" s="2" t="s">
        <v>8</v>
      </c>
      <c r="E2" s="2" t="s">
        <v>132</v>
      </c>
      <c r="F2" s="8" t="s">
        <v>178</v>
      </c>
      <c r="G2" s="10" t="s">
        <v>210</v>
      </c>
    </row>
    <row r="3" spans="1:7" x14ac:dyDescent="0.25">
      <c r="A3" s="2" t="s">
        <v>9</v>
      </c>
      <c r="B3" s="2" t="s">
        <v>133</v>
      </c>
      <c r="C3" s="2" t="s">
        <v>10</v>
      </c>
      <c r="D3" s="2" t="s">
        <v>134</v>
      </c>
      <c r="E3" s="2" t="s">
        <v>135</v>
      </c>
      <c r="F3" s="8" t="s">
        <v>177</v>
      </c>
      <c r="G3" s="10" t="s">
        <v>200</v>
      </c>
    </row>
    <row r="4" spans="1:7" x14ac:dyDescent="0.25">
      <c r="A4" s="2" t="s">
        <v>13</v>
      </c>
      <c r="B4" s="2" t="s">
        <v>136</v>
      </c>
      <c r="C4" s="2" t="s">
        <v>14</v>
      </c>
      <c r="D4" s="2" t="s">
        <v>12</v>
      </c>
      <c r="E4" s="2" t="s">
        <v>137</v>
      </c>
      <c r="F4" s="8" t="s">
        <v>178</v>
      </c>
      <c r="G4" s="10" t="s">
        <v>210</v>
      </c>
    </row>
    <row r="5" spans="1:7" x14ac:dyDescent="0.25">
      <c r="A5" s="2" t="s">
        <v>31</v>
      </c>
      <c r="B5" s="2" t="s">
        <v>138</v>
      </c>
      <c r="C5" s="2" t="s">
        <v>32</v>
      </c>
      <c r="D5" s="2" t="s">
        <v>139</v>
      </c>
      <c r="E5" s="2" t="s">
        <v>140</v>
      </c>
      <c r="F5" s="8" t="s">
        <v>177</v>
      </c>
      <c r="G5" s="10" t="s">
        <v>202</v>
      </c>
    </row>
    <row r="6" spans="1:7" x14ac:dyDescent="0.25">
      <c r="A6" s="2" t="s">
        <v>35</v>
      </c>
      <c r="B6" s="2" t="s">
        <v>141</v>
      </c>
      <c r="C6" s="2" t="s">
        <v>36</v>
      </c>
      <c r="D6" s="2" t="s">
        <v>12</v>
      </c>
      <c r="E6" s="2" t="s">
        <v>142</v>
      </c>
      <c r="F6" s="8" t="s">
        <v>178</v>
      </c>
      <c r="G6" s="10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7B99-98F3-4CF0-BD0D-B462102E657B}">
  <dimension ref="A1:G11"/>
  <sheetViews>
    <sheetView topLeftCell="C1" workbookViewId="0">
      <selection activeCell="G14" sqref="G14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20.5703125" bestFit="1" customWidth="1"/>
    <col min="4" max="4" width="10.7109375" bestFit="1" customWidth="1"/>
    <col min="5" max="5" width="37.5703125" bestFit="1" customWidth="1"/>
    <col min="6" max="6" width="20.7109375" bestFit="1" customWidth="1"/>
    <col min="7" max="7" width="37.5703125" bestFit="1" customWidth="1"/>
  </cols>
  <sheetData>
    <row r="1" spans="1:7" x14ac:dyDescent="0.25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9" t="s">
        <v>176</v>
      </c>
      <c r="G1" s="9" t="s">
        <v>169</v>
      </c>
    </row>
    <row r="2" spans="1:7" x14ac:dyDescent="0.25">
      <c r="A2" s="2" t="s">
        <v>5</v>
      </c>
      <c r="B2" s="2" t="s">
        <v>6</v>
      </c>
      <c r="C2" s="2" t="s">
        <v>146</v>
      </c>
      <c r="D2" s="2" t="s">
        <v>147</v>
      </c>
      <c r="E2" s="2" t="s">
        <v>148</v>
      </c>
      <c r="F2" s="11" t="s">
        <v>178</v>
      </c>
      <c r="G2" s="11" t="s">
        <v>211</v>
      </c>
    </row>
    <row r="3" spans="1:7" x14ac:dyDescent="0.25">
      <c r="A3" s="2" t="s">
        <v>9</v>
      </c>
      <c r="B3" s="2" t="s">
        <v>10</v>
      </c>
      <c r="C3" s="2" t="s">
        <v>149</v>
      </c>
      <c r="D3" s="2" t="s">
        <v>147</v>
      </c>
      <c r="E3" s="2" t="s">
        <v>150</v>
      </c>
      <c r="F3" s="11" t="s">
        <v>212</v>
      </c>
      <c r="G3" s="11" t="s">
        <v>150</v>
      </c>
    </row>
    <row r="4" spans="1:7" x14ac:dyDescent="0.25">
      <c r="A4" s="2" t="s">
        <v>13</v>
      </c>
      <c r="B4" s="2" t="s">
        <v>14</v>
      </c>
      <c r="C4" s="2" t="s">
        <v>137</v>
      </c>
      <c r="D4" s="2" t="s">
        <v>147</v>
      </c>
      <c r="E4" s="2" t="s">
        <v>148</v>
      </c>
      <c r="F4" s="11" t="s">
        <v>178</v>
      </c>
      <c r="G4" s="11" t="s">
        <v>211</v>
      </c>
    </row>
    <row r="5" spans="1:7" x14ac:dyDescent="0.25">
      <c r="A5" s="2" t="s">
        <v>17</v>
      </c>
      <c r="B5" s="2" t="s">
        <v>18</v>
      </c>
      <c r="C5" s="2" t="s">
        <v>151</v>
      </c>
      <c r="D5" s="2" t="s">
        <v>147</v>
      </c>
      <c r="E5" s="2" t="s">
        <v>152</v>
      </c>
      <c r="F5" s="11" t="s">
        <v>212</v>
      </c>
      <c r="G5" s="11" t="s">
        <v>152</v>
      </c>
    </row>
    <row r="6" spans="1:7" x14ac:dyDescent="0.25">
      <c r="A6" s="2" t="s">
        <v>21</v>
      </c>
      <c r="B6" s="2" t="s">
        <v>22</v>
      </c>
      <c r="C6" s="2" t="s">
        <v>153</v>
      </c>
      <c r="D6" s="2" t="s">
        <v>147</v>
      </c>
      <c r="E6" s="2" t="s">
        <v>148</v>
      </c>
      <c r="F6" s="11" t="s">
        <v>178</v>
      </c>
      <c r="G6" s="11" t="s">
        <v>211</v>
      </c>
    </row>
    <row r="7" spans="1:7" x14ac:dyDescent="0.25">
      <c r="A7" s="2" t="s">
        <v>24</v>
      </c>
      <c r="B7" s="2" t="s">
        <v>25</v>
      </c>
      <c r="C7" s="2" t="s">
        <v>154</v>
      </c>
      <c r="D7" s="2" t="s">
        <v>147</v>
      </c>
      <c r="E7" s="2" t="s">
        <v>148</v>
      </c>
      <c r="F7" s="11" t="s">
        <v>178</v>
      </c>
      <c r="G7" s="11" t="s">
        <v>211</v>
      </c>
    </row>
    <row r="8" spans="1:7" x14ac:dyDescent="0.25">
      <c r="A8" s="2" t="s">
        <v>28</v>
      </c>
      <c r="B8" s="2" t="s">
        <v>29</v>
      </c>
      <c r="C8" s="2" t="s">
        <v>155</v>
      </c>
      <c r="D8" s="2" t="s">
        <v>147</v>
      </c>
      <c r="E8" s="2" t="s">
        <v>148</v>
      </c>
      <c r="F8" s="11" t="s">
        <v>178</v>
      </c>
      <c r="G8" s="11" t="s">
        <v>211</v>
      </c>
    </row>
    <row r="9" spans="1:7" x14ac:dyDescent="0.25">
      <c r="A9" s="2" t="s">
        <v>31</v>
      </c>
      <c r="B9" s="2" t="s">
        <v>32</v>
      </c>
      <c r="C9" s="2" t="s">
        <v>140</v>
      </c>
      <c r="D9" s="2" t="s">
        <v>147</v>
      </c>
      <c r="E9" s="2" t="s">
        <v>156</v>
      </c>
      <c r="F9" s="11" t="s">
        <v>212</v>
      </c>
      <c r="G9" s="11" t="s">
        <v>156</v>
      </c>
    </row>
    <row r="10" spans="1:7" x14ac:dyDescent="0.25">
      <c r="A10" s="2" t="s">
        <v>35</v>
      </c>
      <c r="B10" s="2" t="s">
        <v>36</v>
      </c>
      <c r="C10" s="2" t="s">
        <v>157</v>
      </c>
      <c r="D10" s="2" t="s">
        <v>158</v>
      </c>
      <c r="E10" s="2" t="s">
        <v>159</v>
      </c>
      <c r="F10" s="11" t="s">
        <v>212</v>
      </c>
      <c r="G10" s="11" t="s">
        <v>209</v>
      </c>
    </row>
    <row r="11" spans="1:7" x14ac:dyDescent="0.25">
      <c r="A11" s="2" t="s">
        <v>38</v>
      </c>
      <c r="B11" s="2" t="s">
        <v>39</v>
      </c>
      <c r="C11" s="2" t="s">
        <v>160</v>
      </c>
      <c r="D11" s="2" t="s">
        <v>147</v>
      </c>
      <c r="E11" s="2" t="s">
        <v>148</v>
      </c>
      <c r="F11" s="11" t="s">
        <v>178</v>
      </c>
      <c r="G11" s="11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9A4F-FBE6-4396-9C5D-8CA23B4ED0C9}">
  <dimension ref="A1:F14"/>
  <sheetViews>
    <sheetView tabSelected="1" topLeftCell="A5" workbookViewId="0">
      <selection activeCell="I10" sqref="I9:I10"/>
    </sheetView>
  </sheetViews>
  <sheetFormatPr defaultRowHeight="15" x14ac:dyDescent="0.25"/>
  <cols>
    <col min="1" max="1" width="12.5703125" customWidth="1"/>
    <col min="2" max="2" width="27.7109375" bestFit="1" customWidth="1"/>
    <col min="3" max="3" width="38.5703125" bestFit="1" customWidth="1"/>
    <col min="4" max="4" width="70" bestFit="1" customWidth="1"/>
    <col min="5" max="5" width="26.42578125" customWidth="1"/>
    <col min="6" max="6" width="66.7109375" bestFit="1" customWidth="1"/>
  </cols>
  <sheetData>
    <row r="1" spans="1:6" x14ac:dyDescent="0.2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 x14ac:dyDescent="0.25">
      <c r="A2" s="8" t="s">
        <v>126</v>
      </c>
      <c r="B2" s="8" t="s">
        <v>187</v>
      </c>
      <c r="C2" s="8" t="s">
        <v>188</v>
      </c>
      <c r="D2" s="8" t="s">
        <v>189</v>
      </c>
      <c r="E2" s="8" t="s">
        <v>190</v>
      </c>
      <c r="F2" s="8" t="s">
        <v>179</v>
      </c>
    </row>
    <row r="3" spans="1:6" x14ac:dyDescent="0.25">
      <c r="A3" s="8" t="s">
        <v>126</v>
      </c>
      <c r="B3" s="8" t="s">
        <v>191</v>
      </c>
      <c r="C3" s="8" t="s">
        <v>188</v>
      </c>
      <c r="D3" s="8" t="s">
        <v>189</v>
      </c>
      <c r="E3" s="8" t="s">
        <v>190</v>
      </c>
      <c r="F3" s="8" t="s">
        <v>180</v>
      </c>
    </row>
    <row r="4" spans="1:6" x14ac:dyDescent="0.25">
      <c r="A4" s="8" t="s">
        <v>126</v>
      </c>
      <c r="B4" s="8" t="s">
        <v>192</v>
      </c>
      <c r="C4" s="8" t="s">
        <v>188</v>
      </c>
      <c r="D4" s="8" t="s">
        <v>189</v>
      </c>
      <c r="E4" s="8" t="s">
        <v>190</v>
      </c>
      <c r="F4" s="8" t="s">
        <v>181</v>
      </c>
    </row>
    <row r="5" spans="1:6" x14ac:dyDescent="0.25">
      <c r="A5" s="8" t="s">
        <v>126</v>
      </c>
      <c r="B5" s="8" t="s">
        <v>193</v>
      </c>
      <c r="C5" s="8" t="s">
        <v>188</v>
      </c>
      <c r="D5" s="8" t="s">
        <v>189</v>
      </c>
      <c r="E5" s="8" t="s">
        <v>190</v>
      </c>
      <c r="F5" s="8" t="s">
        <v>182</v>
      </c>
    </row>
    <row r="6" spans="1:6" x14ac:dyDescent="0.25">
      <c r="A6" s="8" t="s">
        <v>126</v>
      </c>
      <c r="B6" s="8" t="s">
        <v>194</v>
      </c>
      <c r="C6" s="8" t="s">
        <v>188</v>
      </c>
      <c r="D6" s="8" t="s">
        <v>189</v>
      </c>
      <c r="E6" s="8" t="s">
        <v>190</v>
      </c>
      <c r="F6" s="8" t="s">
        <v>183</v>
      </c>
    </row>
    <row r="7" spans="1:6" x14ac:dyDescent="0.25">
      <c r="A7" s="8" t="s">
        <v>126</v>
      </c>
      <c r="B7" s="8" t="s">
        <v>195</v>
      </c>
      <c r="C7" s="8" t="s">
        <v>188</v>
      </c>
      <c r="D7" s="8" t="s">
        <v>189</v>
      </c>
      <c r="E7" s="8" t="s">
        <v>190</v>
      </c>
      <c r="F7" s="8" t="s">
        <v>184</v>
      </c>
    </row>
    <row r="8" spans="1:6" x14ac:dyDescent="0.25">
      <c r="A8" s="8" t="s">
        <v>126</v>
      </c>
      <c r="B8" s="8" t="s">
        <v>196</v>
      </c>
      <c r="C8" s="8" t="s">
        <v>188</v>
      </c>
      <c r="D8" s="8" t="s">
        <v>189</v>
      </c>
      <c r="E8" s="8" t="s">
        <v>190</v>
      </c>
      <c r="F8" s="8" t="s">
        <v>186</v>
      </c>
    </row>
    <row r="9" spans="1:6" x14ac:dyDescent="0.25">
      <c r="A9" s="8" t="s">
        <v>126</v>
      </c>
      <c r="B9" s="8" t="s">
        <v>197</v>
      </c>
      <c r="C9" s="8" t="s">
        <v>198</v>
      </c>
      <c r="D9" s="8" t="s">
        <v>199</v>
      </c>
      <c r="E9" s="8" t="s">
        <v>190</v>
      </c>
      <c r="F9" s="8" t="s">
        <v>200</v>
      </c>
    </row>
    <row r="10" spans="1:6" x14ac:dyDescent="0.25">
      <c r="A10" s="8" t="s">
        <v>126</v>
      </c>
      <c r="B10" s="8" t="s">
        <v>201</v>
      </c>
      <c r="C10" s="8" t="s">
        <v>198</v>
      </c>
      <c r="D10" s="8" t="s">
        <v>199</v>
      </c>
      <c r="E10" s="8" t="s">
        <v>190</v>
      </c>
      <c r="F10" s="8" t="s">
        <v>202</v>
      </c>
    </row>
    <row r="11" spans="1:6" x14ac:dyDescent="0.25">
      <c r="A11" s="8" t="s">
        <v>126</v>
      </c>
      <c r="B11" s="8" t="s">
        <v>203</v>
      </c>
      <c r="C11" s="8" t="s">
        <v>204</v>
      </c>
      <c r="D11" s="8" t="s">
        <v>205</v>
      </c>
      <c r="E11" s="8" t="s">
        <v>190</v>
      </c>
      <c r="F11" s="8" t="s">
        <v>150</v>
      </c>
    </row>
    <row r="12" spans="1:6" x14ac:dyDescent="0.25">
      <c r="A12" s="8" t="s">
        <v>126</v>
      </c>
      <c r="B12" s="8" t="s">
        <v>206</v>
      </c>
      <c r="C12" s="8" t="s">
        <v>204</v>
      </c>
      <c r="D12" s="8" t="s">
        <v>205</v>
      </c>
      <c r="E12" s="8" t="s">
        <v>190</v>
      </c>
      <c r="F12" s="8" t="s">
        <v>152</v>
      </c>
    </row>
    <row r="13" spans="1:6" x14ac:dyDescent="0.25">
      <c r="A13" s="8" t="s">
        <v>126</v>
      </c>
      <c r="B13" s="8" t="s">
        <v>207</v>
      </c>
      <c r="C13" s="8" t="s">
        <v>204</v>
      </c>
      <c r="D13" s="8" t="s">
        <v>205</v>
      </c>
      <c r="E13" s="8" t="s">
        <v>190</v>
      </c>
      <c r="F13" s="8" t="s">
        <v>156</v>
      </c>
    </row>
    <row r="14" spans="1:6" x14ac:dyDescent="0.25">
      <c r="A14" s="8" t="s">
        <v>126</v>
      </c>
      <c r="B14" s="8" t="s">
        <v>208</v>
      </c>
      <c r="C14" s="8" t="s">
        <v>204</v>
      </c>
      <c r="D14" s="8" t="s">
        <v>205</v>
      </c>
      <c r="E14" s="8" t="s">
        <v>190</v>
      </c>
      <c r="F14" s="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CustomerProfiles</vt:lpstr>
      <vt:lpstr>ActualTransactions</vt:lpstr>
      <vt:lpstr>UBOChains</vt:lpstr>
      <vt:lpstr>EDDTriggers</vt:lpstr>
      <vt:lpstr>Case_Log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Shadrack Kipruto</cp:lastModifiedBy>
  <dcterms:created xsi:type="dcterms:W3CDTF">2015-06-05T18:17:20Z</dcterms:created>
  <dcterms:modified xsi:type="dcterms:W3CDTF">2026-01-16T04:34:25Z</dcterms:modified>
</cp:coreProperties>
</file>